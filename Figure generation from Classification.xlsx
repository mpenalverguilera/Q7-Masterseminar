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Q1 Metadata" sheetId="1" r:id="rId5"/>
    <sheet state="visible" name="RQ2 Challenges Addressed" sheetId="2" r:id="rId6"/>
    <sheet state="visible" name="RQ2 Automation Paradigm" sheetId="3" r:id="rId7"/>
    <sheet state="visible" name="RQ2 Robotics-Computational Perf" sheetId="4" r:id="rId8"/>
    <sheet state="visible" name="RQ2 Agent Configuration" sheetId="5" r:id="rId9"/>
    <sheet state="visible" name="RQ2 MAS Coordination" sheetId="6" r:id="rId10"/>
    <sheet state="visible" name="RQ3 Planning approaches - Neura" sheetId="7" r:id="rId11"/>
    <sheet state="visible" name="RQ3 Planning approaches - Symbo" sheetId="8" r:id="rId12"/>
    <sheet state="visible" name="RQ3 Memory Type" sheetId="9" r:id="rId13"/>
    <sheet state="visible" name="RQ3 Self Correction" sheetId="10" r:id="rId14"/>
    <sheet state="visible" name="RQ3 Compliance Reasoning" sheetId="11" r:id="rId15"/>
    <sheet state="visible" name="RQ3 Heatmaps" sheetId="12" r:id="rId16"/>
    <sheet state="visible" name="Quality Assessment" sheetId="13" r:id="rId17"/>
  </sheets>
  <definedNames>
    <definedName hidden="1" localSheetId="0" name="_xlnm._FilterDatabase">'RQ1 Metadata'!$G$84:$K$128</definedName>
    <definedName hidden="1" localSheetId="1" name="_xlnm._FilterDatabase">'RQ2 Challenges Addressed'!$G$1:$H$10</definedName>
    <definedName hidden="1" localSheetId="2" name="_xlnm._FilterDatabase">'RQ2 Automation Paradigm'!$F$1:$G$5</definedName>
    <definedName hidden="1" localSheetId="6" name="_xlnm._FilterDatabase">'RQ3 Planning approaches - Neura'!$F$3:$H$7</definedName>
    <definedName hidden="1" localSheetId="7" name="_xlnm._FilterDatabase">'RQ3 Planning approaches - Symbo'!$F$3:$H$8</definedName>
    <definedName hidden="1" localSheetId="8" name="_xlnm._FilterDatabase">'RQ3 Memory Type'!$A$1:$C$56</definedName>
    <definedName hidden="1" localSheetId="9" name="_xlnm._FilterDatabase">'RQ3 Self Correction'!$A$1:$C$56</definedName>
    <definedName hidden="1" localSheetId="10" name="_xlnm._FilterDatabase">'RQ3 Compliance Reasoning'!$A$1:$C$56</definedName>
    <definedName hidden="1" localSheetId="12" name="_xlnm._FilterDatabase">'Quality Assessment'!$A$1:$H$63</definedName>
  </definedNames>
  <calcPr/>
</workbook>
</file>

<file path=xl/sharedStrings.xml><?xml version="1.0" encoding="utf-8"?>
<sst xmlns="http://schemas.openxmlformats.org/spreadsheetml/2006/main" count="2257" uniqueCount="366">
  <si>
    <t>id</t>
  </si>
  <si>
    <t>year</t>
  </si>
  <si>
    <t>venue_name_clean</t>
  </si>
  <si>
    <t>venue_type</t>
  </si>
  <si>
    <t>research_type</t>
  </si>
  <si>
    <t>Paper_04</t>
  </si>
  <si>
    <t>AAMAS (Workshop)</t>
  </si>
  <si>
    <t>Conference Papers</t>
  </si>
  <si>
    <t>Philosophical Paper</t>
  </si>
  <si>
    <t>Paper_06</t>
  </si>
  <si>
    <t>ICLP</t>
  </si>
  <si>
    <t>Solution Proposal</t>
  </si>
  <si>
    <t>Paper_07</t>
  </si>
  <si>
    <t>ICAPS</t>
  </si>
  <si>
    <t>Literature Review</t>
  </si>
  <si>
    <t>Paper_08</t>
  </si>
  <si>
    <t>AIES</t>
  </si>
  <si>
    <t>Paper_09</t>
  </si>
  <si>
    <t>SAC</t>
  </si>
  <si>
    <t>Paper_10</t>
  </si>
  <si>
    <t>AAAI</t>
  </si>
  <si>
    <t>Paper_13</t>
  </si>
  <si>
    <t>New Generation Computing</t>
  </si>
  <si>
    <t>Journals</t>
  </si>
  <si>
    <t>Paper_15</t>
  </si>
  <si>
    <t>ICOCT</t>
  </si>
  <si>
    <t>Paper_14</t>
  </si>
  <si>
    <t>ICAD</t>
  </si>
  <si>
    <t>Paper_16</t>
  </si>
  <si>
    <t>SIMPAR</t>
  </si>
  <si>
    <t>Paper_18</t>
  </si>
  <si>
    <t>IEEE Robotics and Automation Letters</t>
  </si>
  <si>
    <t>Paper_19</t>
  </si>
  <si>
    <t>IEEE Transactions on Games</t>
  </si>
  <si>
    <t>Paper_20</t>
  </si>
  <si>
    <t>Mathematical Biosciences and Engineering</t>
  </si>
  <si>
    <t>Paper_21</t>
  </si>
  <si>
    <t>ICRA</t>
  </si>
  <si>
    <t>Paper_22</t>
  </si>
  <si>
    <t>IROS</t>
  </si>
  <si>
    <t>Paper_23</t>
  </si>
  <si>
    <t>Paper_44</t>
  </si>
  <si>
    <t>IEEE Access</t>
  </si>
  <si>
    <t>Paper_24</t>
  </si>
  <si>
    <t>PSGEC</t>
  </si>
  <si>
    <t>Paper_25</t>
  </si>
  <si>
    <t>IHCIT</t>
  </si>
  <si>
    <t>Paper_26</t>
  </si>
  <si>
    <t>ICMNWC</t>
  </si>
  <si>
    <t>Paper_48</t>
  </si>
  <si>
    <t>ICMLT</t>
  </si>
  <si>
    <t>Paper_27</t>
  </si>
  <si>
    <t>ETNCC</t>
  </si>
  <si>
    <t>Paper_28</t>
  </si>
  <si>
    <t>Paper_29</t>
  </si>
  <si>
    <t>Paper_30</t>
  </si>
  <si>
    <t>Paper_31</t>
  </si>
  <si>
    <t>ICARM</t>
  </si>
  <si>
    <t>Paper_32</t>
  </si>
  <si>
    <t>Frontiers in Neurorobotics</t>
  </si>
  <si>
    <t>Paper_38</t>
  </si>
  <si>
    <t>Frontiers in Robotics and AI</t>
  </si>
  <si>
    <t>Paper_39</t>
  </si>
  <si>
    <t>Proceedings of the VLDB Endowment</t>
  </si>
  <si>
    <t>Paper_40</t>
  </si>
  <si>
    <t>ACM Transactions on Autonomous and Adaptive Systems</t>
  </si>
  <si>
    <t>Paper_41</t>
  </si>
  <si>
    <t>ACM Transactions on Internet of Things</t>
  </si>
  <si>
    <t>Paper_42</t>
  </si>
  <si>
    <t>ACM Transactions on Cyber-Physical Systems</t>
  </si>
  <si>
    <t>Paper_45</t>
  </si>
  <si>
    <t>Paper_46</t>
  </si>
  <si>
    <t>Paper_47</t>
  </si>
  <si>
    <t>IEEE Transactions on Robotics</t>
  </si>
  <si>
    <t>Paper_49</t>
  </si>
  <si>
    <t>AISTS</t>
  </si>
  <si>
    <t>Paper_50</t>
  </si>
  <si>
    <t>ETFA</t>
  </si>
  <si>
    <t>Paper_51</t>
  </si>
  <si>
    <t>Paper_52</t>
  </si>
  <si>
    <t>Batteries</t>
  </si>
  <si>
    <t>Paper_53</t>
  </si>
  <si>
    <t>IEEE Transactions on Cognitive Communications and Networking</t>
  </si>
  <si>
    <t>Paper_54</t>
  </si>
  <si>
    <t>IT Professional</t>
  </si>
  <si>
    <t>Paper_55</t>
  </si>
  <si>
    <t>ERAS</t>
  </si>
  <si>
    <t>Paper_56</t>
  </si>
  <si>
    <t>Paper_59</t>
  </si>
  <si>
    <t>AAMAS</t>
  </si>
  <si>
    <t>Paper_61</t>
  </si>
  <si>
    <t>CIKM</t>
  </si>
  <si>
    <t>Paper_62</t>
  </si>
  <si>
    <t>Paper_64</t>
  </si>
  <si>
    <t>Paper_65</t>
  </si>
  <si>
    <t>Paper_66</t>
  </si>
  <si>
    <t>WWW</t>
  </si>
  <si>
    <t>Paper_67</t>
  </si>
  <si>
    <t>Paper_69</t>
  </si>
  <si>
    <t>SIGdial</t>
  </si>
  <si>
    <t>Paper_70</t>
  </si>
  <si>
    <t>Paper_76</t>
  </si>
  <si>
    <t>Paper_77</t>
  </si>
  <si>
    <t>CHI</t>
  </si>
  <si>
    <t>Paper_78</t>
  </si>
  <si>
    <t>Paper_79</t>
  </si>
  <si>
    <t>Journal of Artificial Intelligence Research</t>
  </si>
  <si>
    <t>Paper_80</t>
  </si>
  <si>
    <t>Paper_81</t>
  </si>
  <si>
    <t>arXiv</t>
  </si>
  <si>
    <t>Preprint</t>
  </si>
  <si>
    <t>Paper_82</t>
  </si>
  <si>
    <t>Paper_83</t>
  </si>
  <si>
    <t>Paper_85</t>
  </si>
  <si>
    <t>Total</t>
  </si>
  <si>
    <t xml:space="preserve">
Venue Name</t>
  </si>
  <si>
    <t>Conference Paper</t>
  </si>
  <si>
    <t>Journal</t>
  </si>
  <si>
    <t>Other Venues (35 total)</t>
  </si>
  <si>
    <t>Challenge Category</t>
  </si>
  <si>
    <t>Frequency</t>
  </si>
  <si>
    <t>primary_challenges</t>
  </si>
  <si>
    <t>Unstructured Environments</t>
  </si>
  <si>
    <t>Explainability</t>
  </si>
  <si>
    <t>Long-Horizon Failure</t>
  </si>
  <si>
    <t>Data Inefficiency</t>
  </si>
  <si>
    <t>Brittleness</t>
  </si>
  <si>
    <t>Safety &amp; Compliance</t>
  </si>
  <si>
    <t>Computational Performance</t>
  </si>
  <si>
    <t>Agent Capabilities</t>
  </si>
  <si>
    <t>Compliance violation</t>
  </si>
  <si>
    <t>target_automation_paradigm</t>
  </si>
  <si>
    <t>Category</t>
  </si>
  <si>
    <t>Count</t>
  </si>
  <si>
    <t>Hybrid</t>
  </si>
  <si>
    <t>Embodied AI/Robotics</t>
  </si>
  <si>
    <t>Environment-Agnostic</t>
  </si>
  <si>
    <t>Other</t>
  </si>
  <si>
    <t>Other (Task-oriented Dialogue)</t>
  </si>
  <si>
    <t>Knowledge-intensive BPM</t>
  </si>
  <si>
    <t>Other (Narrative Planning)</t>
  </si>
  <si>
    <t>Other (Social event prediction)</t>
  </si>
  <si>
    <t>Other (Automatic workflow generation)</t>
  </si>
  <si>
    <t>Number of Robotics Papers</t>
  </si>
  <si>
    <t>%</t>
  </si>
  <si>
    <t>Computational Performance counts</t>
  </si>
  <si>
    <t>agent_configuration</t>
  </si>
  <si>
    <t>MAS</t>
  </si>
  <si>
    <t>Single-Agent</t>
  </si>
  <si>
    <t>Both</t>
  </si>
  <si>
    <t>mas_coordination</t>
  </si>
  <si>
    <t>Logic-Driven / Algorithimic</t>
  </si>
  <si>
    <t>Centralized / Herarchical</t>
  </si>
  <si>
    <t>Shared Knowladge / Blackboard</t>
  </si>
  <si>
    <t>Role-Based / Specialized</t>
  </si>
  <si>
    <t>P2P</t>
  </si>
  <si>
    <t>Human-Agent Collaboration</t>
  </si>
  <si>
    <t>Collaborative Perception-Fusion</t>
  </si>
  <si>
    <t>Id</t>
  </si>
  <si>
    <t>Approach</t>
  </si>
  <si>
    <t>Nerual</t>
  </si>
  <si>
    <t>Symbolic</t>
  </si>
  <si>
    <t>Hybrid (Neuro-symbolic), Neural (Generative Models), Symbolic (Induction/Deduction)</t>
  </si>
  <si>
    <t>GEN</t>
  </si>
  <si>
    <t>LOGIC</t>
  </si>
  <si>
    <t/>
  </si>
  <si>
    <t>Neural</t>
  </si>
  <si>
    <t>A. NEURAL CLASSES</t>
  </si>
  <si>
    <t>Hybrid (Neuro-symbolic), Symbolic (Abductive Logic Programming), Neural (Deep Learning)</t>
  </si>
  <si>
    <t>PER</t>
  </si>
  <si>
    <t>Foundation Models</t>
  </si>
  <si>
    <t>FM</t>
  </si>
  <si>
    <t>Hybrid (Neuro-symbolic), Symbolic (BDI/Ethicaa), Neural (RL/Q-DSOM)</t>
  </si>
  <si>
    <t>RL</t>
  </si>
  <si>
    <t>COG</t>
  </si>
  <si>
    <t>Reinforcement Learning</t>
  </si>
  <si>
    <t>Foundation Models (FM): Large-scale, pre-trained models used as general-purpose engines. They often act as translators between natural language and symbolic specifications (e.g., translating a prompt into a PDDL goal).</t>
  </si>
  <si>
    <t>Hybrid (Neuro-symbolic), Symbolic (BDI), Neural (Policy Network/PPO)</t>
  </si>
  <si>
    <t>Generative &amp; Predictive Models</t>
  </si>
  <si>
    <t>Tags: LLM, VLM, GPT-3, OpenVLA, Transformer, LM.</t>
  </si>
  <si>
    <t>Hybrid (Neuro-symbolic), Neural (GOALNET/Subgoal Predictor), Symbolic (Classical Planner)</t>
  </si>
  <si>
    <t>PLAN</t>
  </si>
  <si>
    <t xml:space="preserve">Discriminative &amp; Perception Models </t>
  </si>
  <si>
    <t xml:space="preserve">Hybrid (Neuro-symbolic), Hybrid (Neural State Machine), Neural (CV) </t>
  </si>
  <si>
    <t>CTRL</t>
  </si>
  <si>
    <t>Generative &amp; Predictive Models (GEN): Neural architectures specifically designed to synthesize new data, predict next states, decompose high-level tasks, or "hallucinate" structured solutions.</t>
  </si>
  <si>
    <t>Hybrid (Neuro-symbolic), Neural (OpenVLA), Symbolic (DIARC)</t>
  </si>
  <si>
    <t>Tags: Generative Models, CoT, Subgoal Predictor, Transition Models, Encoder-Decoder, Seq2Tree, GOALNET, Samplers, ReAct, LLM HTN Decomposition, Active Inference.</t>
  </si>
  <si>
    <t>Hybrid (Neuro-symbolic), Neural (LLM), Symbolic (Answer Set Programming)</t>
  </si>
  <si>
    <t>Hybrid (Neuro-symbolic), Neural (Vision-Language Network), Symbolic (PDDL Planner)</t>
  </si>
  <si>
    <t>Reinforcement Learning (RL): Models that learn through interaction or policy optimization. These may be unconstrained or guided by symbolic boundaries.</t>
  </si>
  <si>
    <t>Hybrid (Neuro-symbolic), Neural (LLM), Symbolic (State Space Planning)</t>
  </si>
  <si>
    <t>Tags: RL, Deep RL, PPO, DQN, Q-DSOM, Policy Network, Skill Networks, ICM, JEPA, Imitation Learning, L-Policy, MARL.</t>
  </si>
  <si>
    <t>Hybrid (Neuro-symbolic), Neural (CNN/Attention), Symbolic (Hierarchical Knowledge Graphs)</t>
  </si>
  <si>
    <t>KR</t>
  </si>
  <si>
    <t>Hybrid (Neuro-symbolic), Neural (Seq2Tree), Symbolic (DSL/Program Execution)</t>
  </si>
  <si>
    <t>KR; CTRL</t>
  </si>
  <si>
    <t>Discriminative &amp; Perception Models (PER): Models used for feature extraction, classification, or spatial understanding to provide state information to the symbolic component.</t>
  </si>
  <si>
    <t>Task and Motion Planning (TAMP), Hybrid (Neuro-symbolic), Symbolic (PDDL/A*), Neural (Samplers)</t>
  </si>
  <si>
    <t>Tags: CNN, Attention, EfficientNet, CV Models, Vision-Language Network, LSTM, GNN, Deep Learning, Sentiment Analysis, Probabilistic Decision Network.</t>
  </si>
  <si>
    <t>Task and Motion Planning (TAMP), Hybrid (Neuro-symbolic), Symbolic (A*), Neural (Transition Models)</t>
  </si>
  <si>
    <t>Hybrid (Neuro-symbolic), Neural (LLM), Symbolic (Knowledge Graph)</t>
  </si>
  <si>
    <t>Hybrid (Neuro-symbolic), Neural (LLM Agents), Symbolic (PDDL)</t>
  </si>
  <si>
    <t>FM; GEN</t>
  </si>
  <si>
    <t>Hybrid (Neuro-symbolic), Neural (DQN/PPO), Symbolic (Cognitive Architectures/ACT-R)</t>
  </si>
  <si>
    <t>Hybrid (Neuro-symbolic), Neural (Deep RL), Other (Force-based Motion Planning)</t>
  </si>
  <si>
    <t>Hybrid (Neuro-symbolic), Symbolic (PDDL), Neural (Imitation Learning)</t>
  </si>
  <si>
    <t>Hybrid (Neuro-symbolic), Neural (L-Model/L-Policy), Symbolic (PDDL/MCTS)</t>
  </si>
  <si>
    <t>Hybrid (Neuro-symbolic), Neural (LLM Planner/Critic), Symbolic (Graph-based Policy/MARL)</t>
  </si>
  <si>
    <t>FM; GEN; RL</t>
  </si>
  <si>
    <t>Hybrid (Neuro-symbolic), Neural (LLM/VLM/Sentiment Analysis), Symbolic (Logic Reasoning Engine)</t>
  </si>
  <si>
    <t>FM; PER</t>
  </si>
  <si>
    <t>Hybrid (Neuro-symbolic), Neural (GPT-3 fine-tuned), Symbolic (PDDL)</t>
  </si>
  <si>
    <t>Hybrid (Neuro-symbolic), Neural (RL/JEPA/Transformers/Graph Neural Networks), Symbolic (Rules/Constraint Solver)</t>
  </si>
  <si>
    <t>FM; RL; PER</t>
  </si>
  <si>
    <t>LOGIC; CTRL</t>
  </si>
  <si>
    <t>Hybrid (Neuro-symbolic), Neural(LLM), Symbolic(SAGA pattern)</t>
  </si>
  <si>
    <t>Hybrid (Neuro-symbolic), Neural (RL/LLM) , Symbolic (BDI)</t>
  </si>
  <si>
    <t>FM; RL</t>
  </si>
  <si>
    <t>Hybrid (Neuro-symbolic), Neural (LLM), Symbolic (Knowladge Graphs)</t>
  </si>
  <si>
    <t>Hybrid (Neuro-symbolic), Neural (LLM), Symbolic (LTL)</t>
  </si>
  <si>
    <t>Hybrid (Neuro-symbolic), Neural (CNN), Symbolic (Plan Libray)</t>
  </si>
  <si>
    <t>Hybrid (Neuro-symbolic), Neural (RL), Symbolic (PDDL)</t>
  </si>
  <si>
    <t>Hybrid (Neuro-symbolic), Neural(Active Inference), Symbolic (BT)</t>
  </si>
  <si>
    <t>Hybrid (Neuro-symbolic), Neural (CoT), Symbolic (State Machines / SKI)</t>
  </si>
  <si>
    <t>Hybrid (Neuro-symbolic), Neural (ReAct), Symbolic (State Machines / SKI)</t>
  </si>
  <si>
    <t>Hybrid (Neuro-symbolic), Neural (LLM), Symbolic (PDDL)</t>
  </si>
  <si>
    <t>Hybrid (Neuro-symbolic), Neural (LLM), Symbolic (PID/MPC/Q-Learning)</t>
  </si>
  <si>
    <t>Hybrid (Neuro-symbolic), Neural (Computer Vision Models), Symbolic (Rule-based Controller)</t>
  </si>
  <si>
    <t>Hybrid (Neuro-symbolic), Neural (RL/ICM), Symbolic (PDDL/LTL)</t>
  </si>
  <si>
    <t>PLAN; LOGIC</t>
  </si>
  <si>
    <t>Hybrid (Neuro-symbolic), Neural (LLM Translation), Symbolic (Formal Logic/ASP)</t>
  </si>
  <si>
    <t>Neural (LLM Extraction), Symbolic (SMT Solver)</t>
  </si>
  <si>
    <t>Hybrid(Neuro-symbolical), Neural (LSTM/EfficientNet), Symbolic (Ontologies)</t>
  </si>
  <si>
    <t>Hybrid (Neuro-symbolic), Symbolic (BDI, Plan Libray), Nerual (LM)</t>
  </si>
  <si>
    <t>PLAN; COG</t>
  </si>
  <si>
    <t>Hybrid (Neuro-symbolic), Neural (LSTM), Symbolic (PRP)</t>
  </si>
  <si>
    <t>Hybrid (Neuro-symbolic), Neural (LLM CoT), Symbolic (DSL)</t>
  </si>
  <si>
    <t>Hybrid (Neuro-symbolic), Symbolic (PDDL), Neural (LLM)</t>
  </si>
  <si>
    <t>Hybrid (Neuro-symbolic), Neural (Probabilistic Decision Network), Symbolic (FOL)</t>
  </si>
  <si>
    <t>Hybrid (Neuro-symbolic), Neural (Transformer/GNN), Symbolic (Directed Scene Graph / SKI)</t>
  </si>
  <si>
    <t>Hybrid (Neuro-symbolic), Neural (LLM), Symbolic (Formal Logic LTL)</t>
  </si>
  <si>
    <t>Hybrid (Neuro-symbolic), Neural (LLM), Symbolic (Scene Graph SKI, PDDL)</t>
  </si>
  <si>
    <t>KR; PLAN</t>
  </si>
  <si>
    <t>Hybrid (Neuro-symbolic), Neural(Encoder-Decoder), Symbolic (DT to PPDDL)</t>
  </si>
  <si>
    <t>PLAN; CTRL</t>
  </si>
  <si>
    <t>Hybrid (Neuro-symbolic), Neural (LLM Translation), Symbolic (BDI/Jason)</t>
  </si>
  <si>
    <t>Hybrid (Neuro-symbolic), Neural (LLM HTN Decomposition), Symbolic (LTL Planning)</t>
  </si>
  <si>
    <t>LOGIC; PLAN</t>
  </si>
  <si>
    <t>Hybrid (Neuro-symbolic), Neural (Reinforcement Learning), Symbolic (Argumentation Framework)</t>
  </si>
  <si>
    <t>Hybrid (Neuro-symbolic), Neural (LLM Translation), Symbolic (PDDL Planner)</t>
  </si>
  <si>
    <t>Hybrid (Neuro-symbolic), Symbolic (PDDL Planning), Neural (Skill Networks)</t>
  </si>
  <si>
    <t>B. SYMBOLIC CLASSES</t>
  </si>
  <si>
    <t>Classical Planning</t>
  </si>
  <si>
    <t>Formal Logic &amp; Solvers</t>
  </si>
  <si>
    <t>Classical Planning (PLAN): Search-based techniques that find a sequence of actions from a start state to a goal state based on defined operators.</t>
  </si>
  <si>
    <t>Knowledge Representation</t>
  </si>
  <si>
    <t>Tags: PDDL, PPDDL, A*, Classical Planner, PRP, MCTS, State Space Planning, Plan Library.</t>
  </si>
  <si>
    <t>Reactive &amp; Execution Control</t>
  </si>
  <si>
    <t>Cognitive Architectures</t>
  </si>
  <si>
    <t>Formal Logic &amp; Solvers (LOGIC): Declarative systems used for mathematical verification, satisfaction, or logical inference.</t>
  </si>
  <si>
    <t>Tags: LTL, ASP, SMT Solver, FOL, Formal Logic, Logic Reasoning Engine, Induction/Deduction, Abductive Logic Programming.</t>
  </si>
  <si>
    <t>Knowledge Representation (KR): Semantic structures used to organize information about the world. This includes symbolic structures (like graphs) generated by neural models (e.g., LLMs) to constrain outputs and guide the decision-making of underlying neural policies.</t>
  </si>
  <si>
    <t>Tags: Knowledge Graph, Ontologies, Scene Graph, DSL, SKI (Knowledge Injection), Graph-based structure.</t>
  </si>
  <si>
    <t>Cognitive Architectures (COG): Human-inspired mental models for decision-making, agency, and belief-desire-intention loops.</t>
  </si>
  <si>
    <t>Tags: BDI, ACT-R, DIARC, Jason, Ethicaa, Argumentation Framework.</t>
  </si>
  <si>
    <t>Reactive &amp; Execution Control (CTRL): Programmatic structures that handle real-time execution, validation, or control loops. Includes logic-based and mathematical-based motion constraints.</t>
  </si>
  <si>
    <t>Tags: State Machines, BT (Behavior Trees), PID, MPC, Rule-based Controller, SAGA pattern, Program Execution, Decision Tree (DT), Force-based Motion Planning.</t>
  </si>
  <si>
    <t>memory_type</t>
  </si>
  <si>
    <t>standardized_category</t>
  </si>
  <si>
    <t>Memory</t>
  </si>
  <si>
    <t>Volatile (Context)</t>
  </si>
  <si>
    <t>Working Memory</t>
  </si>
  <si>
    <t>Not Mentioned</t>
  </si>
  <si>
    <t>N/A</t>
  </si>
  <si>
    <t>Episodic Memory</t>
  </si>
  <si>
    <t>Persistent (Database/Saga)</t>
  </si>
  <si>
    <t>Procedural Memory</t>
  </si>
  <si>
    <t>Semantic Memory</t>
  </si>
  <si>
    <t>Graph-based</t>
  </si>
  <si>
    <t>World Model</t>
  </si>
  <si>
    <t>Episodic (History)</t>
  </si>
  <si>
    <t>Persistent (Databases)</t>
  </si>
  <si>
    <t>Episodic (History) &amp; World Model</t>
  </si>
  <si>
    <t>Persistent (Database/HER)</t>
  </si>
  <si>
    <t>Episodic (History - TKG &amp; Retrival Tools)</t>
  </si>
  <si>
    <t>Persistent (Database)</t>
  </si>
  <si>
    <t>Persistent (Knowladge Graphs)</t>
  </si>
  <si>
    <t>Persistent (Onthology,TBox/ABox)</t>
  </si>
  <si>
    <t xml:space="preserve">Persitent (RAG, Onthology), Episodic(History) </t>
  </si>
  <si>
    <t>Persitent (Knowladge Base)</t>
  </si>
  <si>
    <t>Episodic (History - Belief Base)</t>
  </si>
  <si>
    <t>Volatile (Context), Persitent (user-defined rules)</t>
  </si>
  <si>
    <t>self_correction</t>
  </si>
  <si>
    <t>Intrinsic (Reflection)</t>
  </si>
  <si>
    <t>Intrinsic (Cognitive/Reflection)</t>
  </si>
  <si>
    <t>Intrinsic (SKI)</t>
  </si>
  <si>
    <t>Self Correction</t>
  </si>
  <si>
    <t>Extrinsic (Environment Feedback)</t>
  </si>
  <si>
    <t>Extrinsic (Env. Feedback)</t>
  </si>
  <si>
    <t>Extrinsic</t>
  </si>
  <si>
    <t>EDM</t>
  </si>
  <si>
    <t>Intrinsic</t>
  </si>
  <si>
    <t>Formal Verification</t>
  </si>
  <si>
    <t>Formal / Symbolic Verification</t>
  </si>
  <si>
    <t>Multi-Agent Audit</t>
  </si>
  <si>
    <t>Multi-Agent Audit (Critic)</t>
  </si>
  <si>
    <t>ASP</t>
  </si>
  <si>
    <t>Lenguage Resaoner</t>
  </si>
  <si>
    <t>Symbolic Agreement Check, Prune invalid states</t>
  </si>
  <si>
    <t>Evaluator Agent</t>
  </si>
  <si>
    <t>Dynamic Algorithm Switching</t>
  </si>
  <si>
    <t>Intrinsic (Pruning invalid states)</t>
  </si>
  <si>
    <t>Intrinsic (Critic Agent)</t>
  </si>
  <si>
    <t>Formal Verification (SPEM)</t>
  </si>
  <si>
    <t>Extrinsic (Validation layers agent)</t>
  </si>
  <si>
    <t>Intrinsic (Knowladge Base)</t>
  </si>
  <si>
    <t>Extrinsic (Environment Feedback, Output Repeater agent )</t>
  </si>
  <si>
    <t>Extrinsic (Environment Feedback, Human-in-the-loop)</t>
  </si>
  <si>
    <t>Human-in-the-loop (HITL)</t>
  </si>
  <si>
    <t>Intrinsic (AI)</t>
  </si>
  <si>
    <t>Intrinsic (Reflection) &amp; Extrinsic (Environment Feedback, Human-in-the-loop)</t>
  </si>
  <si>
    <t>Conduct Governance</t>
  </si>
  <si>
    <t>Intrinsic (Imagination)</t>
  </si>
  <si>
    <t>Judge Agent</t>
  </si>
  <si>
    <t>Intrinsic (Reflection - Metacognitive Agent)</t>
  </si>
  <si>
    <t>Intrinsic (Reflection), Extrinsic (Environment Feedback)</t>
  </si>
  <si>
    <t>Intrinsic (Belief Update)</t>
  </si>
  <si>
    <t>Extrinsic (Human-in-the-loop), Intrinsic (Introspection and Eplxanation of DIRAC)</t>
  </si>
  <si>
    <t>Human-in-the-loop</t>
  </si>
  <si>
    <t>Intrinsic (Pick plan based on similariry in demostration)</t>
  </si>
  <si>
    <t>compliance_reasoning</t>
  </si>
  <si>
    <t>Compliance Reasoning</t>
  </si>
  <si>
    <t>Logic &amp; Rule-Based</t>
  </si>
  <si>
    <t>Not language reasoner</t>
  </si>
  <si>
    <t>Formal Logic/Rules</t>
  </si>
  <si>
    <t>Agent-Based Auditing</t>
  </si>
  <si>
    <t>Trace &amp; Behavioral Monitoring</t>
  </si>
  <si>
    <t>Not metacognitive</t>
  </si>
  <si>
    <t>ARE</t>
  </si>
  <si>
    <t>Bilevel Search for Feasibility</t>
  </si>
  <si>
    <t>Assesment and Evaluation Agent, Formal Logic/Rule-based</t>
  </si>
  <si>
    <t>Cognitive Layer</t>
  </si>
  <si>
    <t>Safety Constraints</t>
  </si>
  <si>
    <t>Critic Agent</t>
  </si>
  <si>
    <t>GlobalValidationAgent</t>
  </si>
  <si>
    <t>LLM traces</t>
  </si>
  <si>
    <t>Formal Logic/Rules, CP</t>
  </si>
  <si>
    <t>Formal Logic/Rules, Agent Verification</t>
  </si>
  <si>
    <t>Formal Logic/Rules, Agent Traces</t>
  </si>
  <si>
    <t>Formal Logic/Rules, Metacognitive Agent</t>
  </si>
  <si>
    <t>Formal Logic/Rules (BDI)</t>
  </si>
  <si>
    <t>Formal Logic/Rules (Judge Agent)</t>
  </si>
  <si>
    <r>
      <rPr>
        <b/>
        <sz val="15.0"/>
      </rPr>
      <t xml:space="preserve">The heatmaps where generated using python scripts, and the data extraced from the calssification. The concrete implementation and figures can be found in the GitHub of the project: </t>
    </r>
    <r>
      <rPr>
        <b/>
        <color rgb="FF1155CC"/>
        <sz val="15.0"/>
        <u/>
      </rPr>
      <t>https://github.com/mpenalverguilera/Q7-Masterseminar</t>
    </r>
  </si>
  <si>
    <t>clear_goal</t>
  </si>
  <si>
    <t>clear_method</t>
  </si>
  <si>
    <t>validity_discussed</t>
  </si>
  <si>
    <t>empirical_evidence</t>
  </si>
  <si>
    <t>results_reported</t>
  </si>
  <si>
    <t>limitations_acknowledged</t>
  </si>
  <si>
    <t>total</t>
  </si>
  <si>
    <t>Average</t>
  </si>
  <si>
    <t>High Rigor (6/6)</t>
  </si>
  <si>
    <t>Good Rigor (5/6)</t>
  </si>
  <si>
    <t>Limited Rigor (&lt;4/6)</t>
  </si>
  <si>
    <t>venue_name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</si>
</sst>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color theme="1"/>
      <name val="Arial"/>
    </font>
    <font>
      <i/>
      <color theme="1"/>
      <name val="Arial"/>
      <scheme val="minor"/>
    </font>
    <font>
      <b/>
      <u/>
      <sz val="15.0"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0" xfId="0" applyFont="1" applyNumberFormat="1"/>
    <xf borderId="0" fillId="0" fontId="1" numFmtId="0" xfId="0" applyFont="1"/>
    <xf borderId="0" fillId="2" fontId="4" numFmtId="0" xfId="0" applyAlignment="1" applyFill="1" applyFont="1">
      <alignment horizontal="center" vertical="bottom"/>
    </xf>
    <xf borderId="0" fillId="0" fontId="1" numFmtId="0" xfId="0" applyFont="1"/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5" numFmtId="0" xfId="0" applyFont="1"/>
    <xf borderId="0" fillId="0" fontId="4" numFmtId="0" xfId="0" applyAlignment="1" applyFont="1">
      <alignment horizontal="center" vertical="bottom"/>
    </xf>
    <xf borderId="0" fillId="2" fontId="6" numFmtId="0" xfId="0" applyAlignment="1" applyFont="1">
      <alignment horizontal="center" readingOrder="0" shrinkToFit="0" vertical="center" wrapText="1"/>
    </xf>
    <xf borderId="0" fillId="2" fontId="1" numFmtId="0" xfId="0" applyFont="1"/>
    <xf borderId="0" fillId="0" fontId="2" numFmtId="0" xfId="0" applyAlignment="1" applyFont="1">
      <alignment horizontal="left" vertical="bottom"/>
    </xf>
    <xf borderId="0" fillId="0" fontId="1" numFmtId="2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4D7EF"/>
          <bgColor rgb="FFD4D7EF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5" pivot="0" name="RQ1 Metadata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Distribution of Venues and Venue Type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'RQ1 Metadata'!$H$84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'RQ1 Metadata'!$G$85:$G$92</c:f>
            </c:strRef>
          </c:cat>
          <c:val>
            <c:numRef>
              <c:f>'RQ1 Metadata'!$H$85:$H$92</c:f>
              <c:numCache/>
            </c:numRef>
          </c:val>
        </c:ser>
        <c:ser>
          <c:idx val="1"/>
          <c:order val="1"/>
          <c:tx>
            <c:strRef>
              <c:f>'RQ1 Metadata'!$I$84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'RQ1 Metadata'!$G$85:$G$92</c:f>
            </c:strRef>
          </c:cat>
          <c:val>
            <c:numRef>
              <c:f>'RQ1 Metadata'!$I$85:$I$92</c:f>
              <c:numCache/>
            </c:numRef>
          </c:val>
        </c:ser>
        <c:ser>
          <c:idx val="2"/>
          <c:order val="2"/>
          <c:tx>
            <c:strRef>
              <c:f>'RQ1 Metadata'!$J$84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'RQ1 Metadata'!$G$85:$G$92</c:f>
            </c:strRef>
          </c:cat>
          <c:val>
            <c:numRef>
              <c:f>'RQ1 Metadata'!$J$85:$J$92</c:f>
              <c:numCache/>
            </c:numRef>
          </c:val>
        </c:ser>
        <c:overlap val="100"/>
        <c:axId val="2080467324"/>
        <c:axId val="663817145"/>
      </c:barChart>
      <c:catAx>
        <c:axId val="20804673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Venue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3817145"/>
      </c:catAx>
      <c:valAx>
        <c:axId val="6638171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Studies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046732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Primary Challenges Addressed by Hybrid Agent Architectures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'RQ2 Challenges Addressed'!$H$1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'RQ2 Challenges Addressed'!$G$2:$G$10</c:f>
            </c:strRef>
          </c:cat>
          <c:val>
            <c:numRef>
              <c:f>'RQ2 Challenges Addressed'!$H$2:$H$10</c:f>
              <c:numCache/>
            </c:numRef>
          </c:val>
        </c:ser>
        <c:axId val="201721146"/>
        <c:axId val="1346279558"/>
      </c:barChart>
      <c:catAx>
        <c:axId val="20172114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Challenge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6279558"/>
      </c:catAx>
      <c:valAx>
        <c:axId val="13462795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Studies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72114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Distribution of Target Automation Paradigms in Hybrid Agents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'RQ2 Automation Paradigm'!$G$1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'RQ2 Automation Paradigm'!$F$2:$F$5</c:f>
            </c:strRef>
          </c:cat>
          <c:val>
            <c:numRef>
              <c:f>'RQ2 Automation Paradigm'!$G$2:$G$5</c:f>
              <c:numCache/>
            </c:numRef>
          </c:val>
        </c:ser>
        <c:axId val="2059771510"/>
        <c:axId val="916714158"/>
      </c:barChart>
      <c:catAx>
        <c:axId val="20597715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Automation Paradigm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6714158"/>
      </c:catAx>
      <c:valAx>
        <c:axId val="9167141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977151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Distribution of Neural Architectural Classes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'RQ3 Planning approaches - Neura'!$F$4:$F$7</c:f>
            </c:strRef>
          </c:cat>
          <c:val>
            <c:numRef>
              <c:f>'RQ3 Planning approaches - Neura'!$H$4:$H$7</c:f>
              <c:numCache/>
            </c:numRef>
          </c:val>
        </c:ser>
        <c:axId val="87647463"/>
        <c:axId val="590297695"/>
      </c:barChart>
      <c:catAx>
        <c:axId val="876474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Neural Component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0297695"/>
      </c:catAx>
      <c:valAx>
        <c:axId val="5902976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Studies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64746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Classification of Symbolic Architectural Mechanisms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'RQ3 Planning approaches - Symbo'!$F$4:$F$8</c:f>
            </c:strRef>
          </c:cat>
          <c:val>
            <c:numRef>
              <c:f>'RQ3 Planning approaches - Symbo'!$H$4:$H$8</c:f>
              <c:numCache/>
            </c:numRef>
          </c:val>
        </c:ser>
        <c:axId val="2145780625"/>
        <c:axId val="1305187691"/>
      </c:barChart>
      <c:catAx>
        <c:axId val="214578062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Symbolic Mechanism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5187691"/>
      </c:catAx>
      <c:valAx>
        <c:axId val="130518769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Studies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578062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Distribution of Memory Architectures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'RQ3 Memory Type'!$H$1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'RQ3 Memory Type'!$G$2:$G$8</c:f>
            </c:strRef>
          </c:cat>
          <c:val>
            <c:numRef>
              <c:f>'RQ3 Memory Type'!$H$2:$H$8</c:f>
              <c:numCache/>
            </c:numRef>
          </c:val>
        </c:ser>
        <c:axId val="1637298420"/>
        <c:axId val="1847844395"/>
      </c:barChart>
      <c:catAx>
        <c:axId val="16372984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Memory System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7844395"/>
      </c:catAx>
      <c:valAx>
        <c:axId val="18478443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Studies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729842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Taxonomy of Self-Correction Strategies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'RQ3 Self Correction'!$H$3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'RQ3 Self Correction'!$F$4:$F$8</c:f>
            </c:strRef>
          </c:cat>
          <c:val>
            <c:numRef>
              <c:f>'RQ3 Self Correction'!$H$4:$H$9</c:f>
              <c:numCache/>
            </c:numRef>
          </c:val>
        </c:ser>
        <c:axId val="1938802096"/>
        <c:axId val="484629069"/>
      </c:barChart>
      <c:catAx>
        <c:axId val="193880209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Self-Correction Approach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4629069"/>
      </c:catAx>
      <c:valAx>
        <c:axId val="4846290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Studies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880209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Classification of Compliance Reasoning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'RQ3 Compliance Reasoning'!$I$1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'RQ3 Compliance Reasoning'!$H$2:$H$7</c:f>
            </c:strRef>
          </c:cat>
          <c:val>
            <c:numRef>
              <c:f>'RQ3 Compliance Reasoning'!$I$2:$I$7</c:f>
              <c:numCache/>
            </c:numRef>
          </c:val>
        </c:ser>
        <c:axId val="218563992"/>
        <c:axId val="604702600"/>
      </c:barChart>
      <c:catAx>
        <c:axId val="2185639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Reasoning Paradigm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4702600"/>
      </c:catAx>
      <c:valAx>
        <c:axId val="6047026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Studies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856399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933450</xdr:colOff>
      <xdr:row>0</xdr:row>
      <xdr:rowOff>133350</xdr:rowOff>
    </xdr:from>
    <xdr:ext cx="4781550" cy="3581400"/>
    <xdr:pic>
      <xdr:nvPicPr>
        <xdr:cNvPr id="1196871461" name="Chart1" title="Gràfic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704850</xdr:colOff>
      <xdr:row>20</xdr:row>
      <xdr:rowOff>95250</xdr:rowOff>
    </xdr:from>
    <xdr:ext cx="5257800" cy="3228975"/>
    <xdr:graphicFrame>
      <xdr:nvGraphicFramePr>
        <xdr:cNvPr id="2" name="Chart 2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923925</xdr:colOff>
      <xdr:row>19</xdr:row>
      <xdr:rowOff>200025</xdr:rowOff>
    </xdr:from>
    <xdr:ext cx="5715000" cy="3533775"/>
    <xdr:graphicFrame>
      <xdr:nvGraphicFramePr>
        <xdr:cNvPr id="3" name="Chart 3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76200</xdr:colOff>
      <xdr:row>0</xdr:row>
      <xdr:rowOff>0</xdr:rowOff>
    </xdr:from>
    <xdr:ext cx="4876800" cy="3476625"/>
    <xdr:pic>
      <xdr:nvPicPr>
        <xdr:cNvPr id="0" name="image1.png" title="Imat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533400</xdr:colOff>
      <xdr:row>6</xdr:row>
      <xdr:rowOff>114300</xdr:rowOff>
    </xdr:from>
    <xdr:ext cx="7334250" cy="2562225"/>
    <xdr:graphicFrame>
      <xdr:nvGraphicFramePr>
        <xdr:cNvPr id="4" name="Chart 4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819150</xdr:colOff>
      <xdr:row>8</xdr:row>
      <xdr:rowOff>85725</xdr:rowOff>
    </xdr:from>
    <xdr:ext cx="4867275" cy="3238500"/>
    <xdr:pic>
      <xdr:nvPicPr>
        <xdr:cNvPr id="0" name="image2.png" title="Imat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819150</xdr:colOff>
      <xdr:row>8</xdr:row>
      <xdr:rowOff>180975</xdr:rowOff>
    </xdr:from>
    <xdr:ext cx="5715000" cy="3533775"/>
    <xdr:graphicFrame>
      <xdr:nvGraphicFramePr>
        <xdr:cNvPr id="5" name="Chart 5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514350</xdr:colOff>
      <xdr:row>18</xdr:row>
      <xdr:rowOff>152400</xdr:rowOff>
    </xdr:from>
    <xdr:ext cx="5715000" cy="3533775"/>
    <xdr:graphicFrame>
      <xdr:nvGraphicFramePr>
        <xdr:cNvPr id="6" name="Chart 6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866775</xdr:colOff>
      <xdr:row>14</xdr:row>
      <xdr:rowOff>28575</xdr:rowOff>
    </xdr:from>
    <xdr:ext cx="5715000" cy="3533775"/>
    <xdr:graphicFrame>
      <xdr:nvGraphicFramePr>
        <xdr:cNvPr id="7" name="Chart 7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600075</xdr:colOff>
      <xdr:row>0</xdr:row>
      <xdr:rowOff>0</xdr:rowOff>
    </xdr:from>
    <xdr:ext cx="7762875" cy="1695450"/>
    <xdr:pic>
      <xdr:nvPicPr>
        <xdr:cNvPr id="0" name="image3.png" title="Imat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914400</xdr:colOff>
      <xdr:row>16</xdr:row>
      <xdr:rowOff>47625</xdr:rowOff>
    </xdr:from>
    <xdr:ext cx="7962900" cy="3533775"/>
    <xdr:graphicFrame>
      <xdr:nvGraphicFramePr>
        <xdr:cNvPr id="8" name="Chart 8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266700</xdr:colOff>
      <xdr:row>2</xdr:row>
      <xdr:rowOff>47625</xdr:rowOff>
    </xdr:from>
    <xdr:ext cx="8162925" cy="2219325"/>
    <xdr:pic>
      <xdr:nvPicPr>
        <xdr:cNvPr id="0" name="image4.png" title="Imat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104775</xdr:colOff>
      <xdr:row>10</xdr:row>
      <xdr:rowOff>133350</xdr:rowOff>
    </xdr:from>
    <xdr:ext cx="5715000" cy="3533775"/>
    <xdr:graphicFrame>
      <xdr:nvGraphicFramePr>
        <xdr:cNvPr id="9" name="Chart 9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857250</xdr:colOff>
      <xdr:row>0</xdr:row>
      <xdr:rowOff>133350</xdr:rowOff>
    </xdr:from>
    <xdr:ext cx="6086475" cy="1419225"/>
    <xdr:pic>
      <xdr:nvPicPr>
        <xdr:cNvPr id="0" name="image5.png" title="Imat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83:E90" displayName="Taula1" name="Taula1" id="1">
  <tableColumns count="5">
    <tableColumn totalsRowLabel="Total" name="year" id="1"/>
    <tableColumn totalsRowFunction="custom" name="Solution Proposal" id="2"/>
    <tableColumn totalsRowFunction="custom" name="Philosophical Paper" id="3"/>
    <tableColumn totalsRowFunction="custom" name="Literature Review" id="4"/>
    <tableColumn totalsRowFunction="custom" name="Total" id="5"/>
  </tableColumns>
  <tableStyleInfo name="RQ1 Meta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mpenalverguilera/Q7-Masterseminar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3">
        <v>2021.0</v>
      </c>
      <c r="C2" s="3" t="s">
        <v>6</v>
      </c>
      <c r="D2" s="3" t="s">
        <v>7</v>
      </c>
      <c r="E2" s="3" t="s">
        <v>8</v>
      </c>
    </row>
    <row r="3">
      <c r="A3" s="3" t="s">
        <v>9</v>
      </c>
      <c r="B3" s="3">
        <v>2023.0</v>
      </c>
      <c r="C3" s="3" t="s">
        <v>10</v>
      </c>
      <c r="D3" s="3" t="s">
        <v>7</v>
      </c>
      <c r="E3" s="3" t="s">
        <v>11</v>
      </c>
    </row>
    <row r="4">
      <c r="A4" s="3" t="s">
        <v>12</v>
      </c>
      <c r="B4" s="3">
        <v>2024.0</v>
      </c>
      <c r="C4" s="3" t="s">
        <v>13</v>
      </c>
      <c r="D4" s="3" t="s">
        <v>7</v>
      </c>
      <c r="E4" s="3" t="s">
        <v>14</v>
      </c>
    </row>
    <row r="5">
      <c r="A5" s="3" t="s">
        <v>15</v>
      </c>
      <c r="B5" s="3">
        <v>2021.0</v>
      </c>
      <c r="C5" s="3" t="s">
        <v>16</v>
      </c>
      <c r="D5" s="3" t="s">
        <v>7</v>
      </c>
      <c r="E5" s="3" t="s">
        <v>11</v>
      </c>
    </row>
    <row r="6">
      <c r="A6" s="3" t="s">
        <v>17</v>
      </c>
      <c r="B6" s="3">
        <v>2023.0</v>
      </c>
      <c r="C6" s="3" t="s">
        <v>18</v>
      </c>
      <c r="D6" s="3" t="s">
        <v>7</v>
      </c>
      <c r="E6" s="3" t="s">
        <v>11</v>
      </c>
    </row>
    <row r="7">
      <c r="A7" s="3" t="s">
        <v>19</v>
      </c>
      <c r="B7" s="3">
        <v>2024.0</v>
      </c>
      <c r="C7" s="3" t="s">
        <v>20</v>
      </c>
      <c r="D7" s="3" t="s">
        <v>7</v>
      </c>
      <c r="E7" s="3" t="s">
        <v>11</v>
      </c>
    </row>
    <row r="8">
      <c r="A8" s="3" t="s">
        <v>21</v>
      </c>
      <c r="B8" s="3">
        <v>2024.0</v>
      </c>
      <c r="C8" s="3" t="s">
        <v>22</v>
      </c>
      <c r="D8" s="3" t="s">
        <v>23</v>
      </c>
      <c r="E8" s="3" t="s">
        <v>11</v>
      </c>
    </row>
    <row r="9">
      <c r="A9" s="3" t="s">
        <v>24</v>
      </c>
      <c r="B9" s="3">
        <v>2025.0</v>
      </c>
      <c r="C9" s="3" t="s">
        <v>25</v>
      </c>
      <c r="D9" s="3" t="s">
        <v>7</v>
      </c>
      <c r="E9" s="3" t="s">
        <v>14</v>
      </c>
    </row>
    <row r="10">
      <c r="A10" s="3" t="s">
        <v>26</v>
      </c>
      <c r="B10" s="3">
        <v>2025.0</v>
      </c>
      <c r="C10" s="3" t="s">
        <v>27</v>
      </c>
      <c r="D10" s="3" t="s">
        <v>7</v>
      </c>
      <c r="E10" s="3" t="s">
        <v>11</v>
      </c>
    </row>
    <row r="11">
      <c r="A11" s="3" t="s">
        <v>28</v>
      </c>
      <c r="B11" s="3">
        <v>2025.0</v>
      </c>
      <c r="C11" s="3" t="s">
        <v>29</v>
      </c>
      <c r="D11" s="3" t="s">
        <v>7</v>
      </c>
      <c r="E11" s="3" t="s">
        <v>11</v>
      </c>
    </row>
    <row r="12">
      <c r="A12" s="3" t="s">
        <v>30</v>
      </c>
      <c r="B12" s="3">
        <v>2022.0</v>
      </c>
      <c r="C12" s="3" t="s">
        <v>31</v>
      </c>
      <c r="D12" s="3" t="s">
        <v>23</v>
      </c>
      <c r="E12" s="3" t="s">
        <v>11</v>
      </c>
    </row>
    <row r="13">
      <c r="A13" s="3" t="s">
        <v>32</v>
      </c>
      <c r="B13" s="3">
        <v>2025.0</v>
      </c>
      <c r="C13" s="3" t="s">
        <v>33</v>
      </c>
      <c r="D13" s="3" t="s">
        <v>23</v>
      </c>
      <c r="E13" s="3" t="s">
        <v>11</v>
      </c>
    </row>
    <row r="14">
      <c r="A14" s="3" t="s">
        <v>34</v>
      </c>
      <c r="B14" s="3">
        <v>2025.0</v>
      </c>
      <c r="C14" s="3" t="s">
        <v>35</v>
      </c>
      <c r="D14" s="3" t="s">
        <v>23</v>
      </c>
      <c r="E14" s="3" t="s">
        <v>11</v>
      </c>
    </row>
    <row r="15">
      <c r="A15" s="3" t="s">
        <v>36</v>
      </c>
      <c r="B15" s="3">
        <v>2023.0</v>
      </c>
      <c r="C15" s="3" t="s">
        <v>37</v>
      </c>
      <c r="D15" s="3" t="s">
        <v>7</v>
      </c>
      <c r="E15" s="3" t="s">
        <v>11</v>
      </c>
    </row>
    <row r="16">
      <c r="A16" s="3" t="s">
        <v>38</v>
      </c>
      <c r="B16" s="3">
        <v>2021.0</v>
      </c>
      <c r="C16" s="3" t="s">
        <v>39</v>
      </c>
      <c r="D16" s="3" t="s">
        <v>7</v>
      </c>
      <c r="E16" s="3" t="s">
        <v>11</v>
      </c>
    </row>
    <row r="17">
      <c r="A17" s="3" t="s">
        <v>40</v>
      </c>
      <c r="B17" s="3">
        <v>2022.0</v>
      </c>
      <c r="C17" s="3" t="s">
        <v>39</v>
      </c>
      <c r="D17" s="3" t="s">
        <v>7</v>
      </c>
      <c r="E17" s="3" t="s">
        <v>11</v>
      </c>
    </row>
    <row r="18">
      <c r="A18" s="3" t="s">
        <v>41</v>
      </c>
      <c r="B18" s="3">
        <v>2025.0</v>
      </c>
      <c r="C18" s="3" t="s">
        <v>42</v>
      </c>
      <c r="D18" s="3" t="s">
        <v>23</v>
      </c>
      <c r="E18" s="3" t="s">
        <v>14</v>
      </c>
    </row>
    <row r="19">
      <c r="A19" s="3" t="s">
        <v>43</v>
      </c>
      <c r="B19" s="3">
        <v>2025.0</v>
      </c>
      <c r="C19" s="3" t="s">
        <v>44</v>
      </c>
      <c r="D19" s="3" t="s">
        <v>7</v>
      </c>
      <c r="E19" s="3" t="s">
        <v>11</v>
      </c>
    </row>
    <row r="20">
      <c r="A20" s="3" t="s">
        <v>45</v>
      </c>
      <c r="B20" s="3">
        <v>2025.0</v>
      </c>
      <c r="C20" s="3" t="s">
        <v>46</v>
      </c>
      <c r="D20" s="3" t="s">
        <v>7</v>
      </c>
      <c r="E20" s="3" t="s">
        <v>11</v>
      </c>
    </row>
    <row r="21">
      <c r="A21" s="3" t="s">
        <v>47</v>
      </c>
      <c r="B21" s="3">
        <v>2024.0</v>
      </c>
      <c r="C21" s="3" t="s">
        <v>48</v>
      </c>
      <c r="D21" s="3" t="s">
        <v>7</v>
      </c>
      <c r="E21" s="3" t="s">
        <v>11</v>
      </c>
    </row>
    <row r="22">
      <c r="A22" s="3" t="s">
        <v>49</v>
      </c>
      <c r="B22" s="3">
        <v>2025.0</v>
      </c>
      <c r="C22" s="3" t="s">
        <v>50</v>
      </c>
      <c r="D22" s="3" t="s">
        <v>7</v>
      </c>
      <c r="E22" s="3" t="s">
        <v>14</v>
      </c>
    </row>
    <row r="23">
      <c r="A23" s="3" t="s">
        <v>51</v>
      </c>
      <c r="B23" s="3">
        <v>2024.0</v>
      </c>
      <c r="C23" s="3" t="s">
        <v>52</v>
      </c>
      <c r="D23" s="3" t="s">
        <v>7</v>
      </c>
      <c r="E23" s="3" t="s">
        <v>11</v>
      </c>
    </row>
    <row r="24">
      <c r="A24" s="3" t="s">
        <v>53</v>
      </c>
      <c r="B24" s="3">
        <v>2025.0</v>
      </c>
      <c r="C24" s="3" t="s">
        <v>37</v>
      </c>
      <c r="D24" s="3" t="s">
        <v>7</v>
      </c>
      <c r="E24" s="3" t="s">
        <v>11</v>
      </c>
    </row>
    <row r="25">
      <c r="A25" s="3" t="s">
        <v>54</v>
      </c>
      <c r="B25" s="3">
        <v>2025.0</v>
      </c>
      <c r="C25" s="3" t="s">
        <v>37</v>
      </c>
      <c r="D25" s="3" t="s">
        <v>7</v>
      </c>
      <c r="E25" s="3" t="s">
        <v>11</v>
      </c>
    </row>
    <row r="26">
      <c r="A26" s="3" t="s">
        <v>55</v>
      </c>
      <c r="B26" s="3">
        <v>2025.0</v>
      </c>
      <c r="C26" s="3" t="s">
        <v>37</v>
      </c>
      <c r="D26" s="3" t="s">
        <v>7</v>
      </c>
      <c r="E26" s="3" t="s">
        <v>11</v>
      </c>
    </row>
    <row r="27">
      <c r="A27" s="3" t="s">
        <v>56</v>
      </c>
      <c r="B27" s="3">
        <v>2024.0</v>
      </c>
      <c r="C27" s="3" t="s">
        <v>57</v>
      </c>
      <c r="D27" s="3" t="s">
        <v>7</v>
      </c>
      <c r="E27" s="3" t="s">
        <v>11</v>
      </c>
    </row>
    <row r="28">
      <c r="A28" s="3" t="s">
        <v>58</v>
      </c>
      <c r="B28" s="3">
        <v>2024.0</v>
      </c>
      <c r="C28" s="3" t="s">
        <v>59</v>
      </c>
      <c r="D28" s="3" t="s">
        <v>23</v>
      </c>
      <c r="E28" s="3" t="s">
        <v>11</v>
      </c>
    </row>
    <row r="29">
      <c r="A29" s="3" t="s">
        <v>60</v>
      </c>
      <c r="B29" s="3">
        <v>2025.0</v>
      </c>
      <c r="C29" s="3" t="s">
        <v>61</v>
      </c>
      <c r="D29" s="3" t="s">
        <v>23</v>
      </c>
      <c r="E29" s="3" t="s">
        <v>11</v>
      </c>
    </row>
    <row r="30">
      <c r="A30" s="3" t="s">
        <v>62</v>
      </c>
      <c r="B30" s="3">
        <v>2025.0</v>
      </c>
      <c r="C30" s="3" t="s">
        <v>63</v>
      </c>
      <c r="D30" s="3" t="s">
        <v>23</v>
      </c>
      <c r="E30" s="3" t="s">
        <v>11</v>
      </c>
    </row>
    <row r="31">
      <c r="A31" s="3" t="s">
        <v>64</v>
      </c>
      <c r="B31" s="3">
        <v>2025.0</v>
      </c>
      <c r="C31" s="3" t="s">
        <v>65</v>
      </c>
      <c r="D31" s="3" t="s">
        <v>23</v>
      </c>
      <c r="E31" s="3" t="s">
        <v>11</v>
      </c>
    </row>
    <row r="32">
      <c r="A32" s="3" t="s">
        <v>66</v>
      </c>
      <c r="B32" s="3">
        <v>2025.0</v>
      </c>
      <c r="C32" s="3" t="s">
        <v>67</v>
      </c>
      <c r="D32" s="3" t="s">
        <v>23</v>
      </c>
      <c r="E32" s="3" t="s">
        <v>11</v>
      </c>
    </row>
    <row r="33">
      <c r="A33" s="3" t="s">
        <v>68</v>
      </c>
      <c r="B33" s="3">
        <v>2025.0</v>
      </c>
      <c r="C33" s="3" t="s">
        <v>69</v>
      </c>
      <c r="D33" s="3" t="s">
        <v>23</v>
      </c>
      <c r="E33" s="3" t="s">
        <v>11</v>
      </c>
    </row>
    <row r="34">
      <c r="A34" s="3" t="s">
        <v>70</v>
      </c>
      <c r="B34" s="3">
        <v>2020.0</v>
      </c>
      <c r="C34" s="3" t="s">
        <v>42</v>
      </c>
      <c r="D34" s="3" t="s">
        <v>23</v>
      </c>
      <c r="E34" s="3" t="s">
        <v>11</v>
      </c>
    </row>
    <row r="35">
      <c r="A35" s="3" t="s">
        <v>71</v>
      </c>
      <c r="B35" s="3">
        <v>2024.0</v>
      </c>
      <c r="C35" s="3" t="s">
        <v>39</v>
      </c>
      <c r="D35" s="3" t="s">
        <v>7</v>
      </c>
      <c r="E35" s="3" t="s">
        <v>11</v>
      </c>
    </row>
    <row r="36">
      <c r="A36" s="3" t="s">
        <v>72</v>
      </c>
      <c r="B36" s="3">
        <v>2023.0</v>
      </c>
      <c r="C36" s="3" t="s">
        <v>73</v>
      </c>
      <c r="D36" s="3" t="s">
        <v>23</v>
      </c>
      <c r="E36" s="3" t="s">
        <v>11</v>
      </c>
    </row>
    <row r="37">
      <c r="A37" s="3" t="s">
        <v>74</v>
      </c>
      <c r="B37" s="3">
        <v>2025.0</v>
      </c>
      <c r="C37" s="3" t="s">
        <v>75</v>
      </c>
      <c r="D37" s="3" t="s">
        <v>7</v>
      </c>
      <c r="E37" s="3" t="s">
        <v>11</v>
      </c>
    </row>
    <row r="38">
      <c r="A38" s="3" t="s">
        <v>76</v>
      </c>
      <c r="B38" s="3">
        <v>2025.0</v>
      </c>
      <c r="C38" s="3" t="s">
        <v>77</v>
      </c>
      <c r="D38" s="3" t="s">
        <v>7</v>
      </c>
      <c r="E38" s="3" t="s">
        <v>11</v>
      </c>
    </row>
    <row r="39">
      <c r="A39" s="3" t="s">
        <v>78</v>
      </c>
      <c r="B39" s="3">
        <v>2025.0</v>
      </c>
      <c r="C39" s="3" t="s">
        <v>42</v>
      </c>
      <c r="D39" s="3" t="s">
        <v>23</v>
      </c>
      <c r="E39" s="3" t="s">
        <v>11</v>
      </c>
    </row>
    <row r="40">
      <c r="A40" s="3" t="s">
        <v>79</v>
      </c>
      <c r="B40" s="3">
        <v>2025.0</v>
      </c>
      <c r="C40" s="3" t="s">
        <v>80</v>
      </c>
      <c r="D40" s="3" t="s">
        <v>23</v>
      </c>
      <c r="E40" s="3" t="s">
        <v>11</v>
      </c>
    </row>
    <row r="41">
      <c r="A41" s="3" t="s">
        <v>81</v>
      </c>
      <c r="B41" s="3">
        <v>2025.0</v>
      </c>
      <c r="C41" s="3" t="s">
        <v>82</v>
      </c>
      <c r="D41" s="3" t="s">
        <v>23</v>
      </c>
      <c r="E41" s="3" t="s">
        <v>11</v>
      </c>
    </row>
    <row r="42">
      <c r="A42" s="3" t="s">
        <v>83</v>
      </c>
      <c r="B42" s="3">
        <v>2025.0</v>
      </c>
      <c r="C42" s="3" t="s">
        <v>84</v>
      </c>
      <c r="D42" s="3" t="s">
        <v>23</v>
      </c>
      <c r="E42" s="3" t="s">
        <v>14</v>
      </c>
    </row>
    <row r="43">
      <c r="A43" s="3" t="s">
        <v>85</v>
      </c>
      <c r="B43" s="3">
        <v>2025.0</v>
      </c>
      <c r="C43" s="3" t="s">
        <v>86</v>
      </c>
      <c r="D43" s="3" t="s">
        <v>7</v>
      </c>
      <c r="E43" s="3" t="s">
        <v>11</v>
      </c>
    </row>
    <row r="44">
      <c r="A44" s="3" t="s">
        <v>87</v>
      </c>
      <c r="B44" s="3">
        <v>2025.0</v>
      </c>
      <c r="C44" s="3" t="s">
        <v>37</v>
      </c>
      <c r="D44" s="3" t="s">
        <v>7</v>
      </c>
      <c r="E44" s="3" t="s">
        <v>11</v>
      </c>
    </row>
    <row r="45">
      <c r="A45" s="3" t="s">
        <v>88</v>
      </c>
      <c r="B45" s="3">
        <v>2025.0</v>
      </c>
      <c r="C45" s="3" t="s">
        <v>89</v>
      </c>
      <c r="D45" s="3" t="s">
        <v>7</v>
      </c>
      <c r="E45" s="3" t="s">
        <v>11</v>
      </c>
    </row>
    <row r="46">
      <c r="A46" s="3" t="s">
        <v>90</v>
      </c>
      <c r="B46" s="3">
        <v>2025.0</v>
      </c>
      <c r="C46" s="3" t="s">
        <v>91</v>
      </c>
      <c r="D46" s="3" t="s">
        <v>7</v>
      </c>
      <c r="E46" s="3" t="s">
        <v>11</v>
      </c>
    </row>
    <row r="47">
      <c r="A47" s="3" t="s">
        <v>92</v>
      </c>
      <c r="B47" s="3">
        <v>2025.0</v>
      </c>
      <c r="C47" s="3" t="s">
        <v>89</v>
      </c>
      <c r="D47" s="3" t="s">
        <v>7</v>
      </c>
      <c r="E47" s="3" t="s">
        <v>11</v>
      </c>
    </row>
    <row r="48">
      <c r="A48" s="3" t="s">
        <v>93</v>
      </c>
      <c r="B48" s="3">
        <v>2024.0</v>
      </c>
      <c r="C48" s="3" t="s">
        <v>89</v>
      </c>
      <c r="D48" s="3" t="s">
        <v>7</v>
      </c>
      <c r="E48" s="3" t="s">
        <v>11</v>
      </c>
    </row>
    <row r="49">
      <c r="A49" s="3" t="s">
        <v>94</v>
      </c>
      <c r="B49" s="3">
        <v>2024.0</v>
      </c>
      <c r="C49" s="3" t="s">
        <v>89</v>
      </c>
      <c r="D49" s="3" t="s">
        <v>7</v>
      </c>
      <c r="E49" s="3" t="s">
        <v>11</v>
      </c>
    </row>
    <row r="50">
      <c r="A50" s="3" t="s">
        <v>95</v>
      </c>
      <c r="B50" s="3">
        <v>2025.0</v>
      </c>
      <c r="C50" s="3" t="s">
        <v>96</v>
      </c>
      <c r="D50" s="3" t="s">
        <v>7</v>
      </c>
      <c r="E50" s="3" t="s">
        <v>11</v>
      </c>
    </row>
    <row r="51">
      <c r="A51" s="3" t="s">
        <v>97</v>
      </c>
      <c r="B51" s="3">
        <v>2024.0</v>
      </c>
      <c r="C51" s="3" t="s">
        <v>89</v>
      </c>
      <c r="D51" s="3" t="s">
        <v>7</v>
      </c>
      <c r="E51" s="3" t="s">
        <v>11</v>
      </c>
    </row>
    <row r="52">
      <c r="A52" s="3" t="s">
        <v>98</v>
      </c>
      <c r="B52" s="3">
        <v>2022.0</v>
      </c>
      <c r="C52" s="3" t="s">
        <v>99</v>
      </c>
      <c r="D52" s="3" t="s">
        <v>7</v>
      </c>
      <c r="E52" s="3" t="s">
        <v>11</v>
      </c>
    </row>
    <row r="53">
      <c r="A53" s="4" t="s">
        <v>100</v>
      </c>
      <c r="B53" s="5">
        <v>2024.0</v>
      </c>
      <c r="C53" s="6" t="s">
        <v>20</v>
      </c>
      <c r="D53" s="4" t="s">
        <v>7</v>
      </c>
      <c r="E53" s="4" t="s">
        <v>11</v>
      </c>
    </row>
    <row r="54">
      <c r="A54" s="7" t="s">
        <v>101</v>
      </c>
      <c r="B54" s="5">
        <v>2025.0</v>
      </c>
      <c r="C54" s="6" t="s">
        <v>20</v>
      </c>
      <c r="D54" s="4" t="s">
        <v>7</v>
      </c>
      <c r="E54" s="4" t="s">
        <v>11</v>
      </c>
    </row>
    <row r="55">
      <c r="A55" s="7" t="s">
        <v>102</v>
      </c>
      <c r="B55" s="5">
        <v>2025.0</v>
      </c>
      <c r="C55" s="6" t="s">
        <v>103</v>
      </c>
      <c r="D55" s="4" t="s">
        <v>7</v>
      </c>
      <c r="E55" s="4" t="s">
        <v>11</v>
      </c>
    </row>
    <row r="56">
      <c r="A56" s="7" t="s">
        <v>104</v>
      </c>
      <c r="B56" s="5">
        <v>2023.0</v>
      </c>
      <c r="C56" s="4" t="s">
        <v>61</v>
      </c>
      <c r="D56" s="4" t="s">
        <v>23</v>
      </c>
      <c r="E56" s="4" t="s">
        <v>11</v>
      </c>
    </row>
    <row r="57">
      <c r="A57" s="7" t="s">
        <v>105</v>
      </c>
      <c r="B57" s="5">
        <v>2022.0</v>
      </c>
      <c r="C57" s="4" t="s">
        <v>106</v>
      </c>
      <c r="D57" s="4" t="s">
        <v>23</v>
      </c>
      <c r="E57" s="4" t="s">
        <v>11</v>
      </c>
    </row>
    <row r="58">
      <c r="A58" s="7" t="s">
        <v>107</v>
      </c>
      <c r="B58" s="5">
        <v>2025.0</v>
      </c>
      <c r="C58" s="6" t="s">
        <v>89</v>
      </c>
      <c r="D58" s="4" t="s">
        <v>7</v>
      </c>
      <c r="E58" s="4" t="s">
        <v>11</v>
      </c>
    </row>
    <row r="59">
      <c r="A59" s="7" t="s">
        <v>108</v>
      </c>
      <c r="B59" s="5">
        <v>2023.0</v>
      </c>
      <c r="C59" s="4" t="s">
        <v>109</v>
      </c>
      <c r="D59" s="6" t="s">
        <v>110</v>
      </c>
      <c r="E59" s="4" t="s">
        <v>11</v>
      </c>
    </row>
    <row r="60">
      <c r="A60" s="7" t="s">
        <v>111</v>
      </c>
      <c r="B60" s="5">
        <v>2023.0</v>
      </c>
      <c r="C60" s="6" t="s">
        <v>89</v>
      </c>
      <c r="D60" s="4" t="s">
        <v>7</v>
      </c>
      <c r="E60" s="4" t="s">
        <v>11</v>
      </c>
    </row>
    <row r="61">
      <c r="A61" s="7" t="s">
        <v>112</v>
      </c>
      <c r="B61" s="5">
        <v>2023.0</v>
      </c>
      <c r="C61" s="4" t="s">
        <v>109</v>
      </c>
      <c r="D61" s="6" t="s">
        <v>110</v>
      </c>
      <c r="E61" s="4" t="s">
        <v>11</v>
      </c>
    </row>
    <row r="62">
      <c r="A62" s="7" t="s">
        <v>113</v>
      </c>
      <c r="B62" s="5">
        <v>2025.0</v>
      </c>
      <c r="C62" s="6" t="s">
        <v>37</v>
      </c>
      <c r="D62" s="4" t="s">
        <v>7</v>
      </c>
      <c r="E62" s="4" t="s">
        <v>11</v>
      </c>
    </row>
    <row r="83" ht="22.5" customHeight="1">
      <c r="A83" s="8" t="s">
        <v>1</v>
      </c>
      <c r="B83" s="8" t="s">
        <v>11</v>
      </c>
      <c r="C83" s="8" t="s">
        <v>8</v>
      </c>
      <c r="D83" s="8" t="s">
        <v>14</v>
      </c>
      <c r="E83" s="9" t="s">
        <v>114</v>
      </c>
    </row>
    <row r="84" ht="22.5" customHeight="1">
      <c r="A84" s="10">
        <v>2020.0</v>
      </c>
      <c r="B84" s="10">
        <v>1.0</v>
      </c>
      <c r="C84" s="11"/>
      <c r="D84" s="11"/>
      <c r="E84" s="12">
        <f t="shared" ref="E84:E89" si="1">SUM(B84:D84)</f>
        <v>1</v>
      </c>
      <c r="G84" s="13" t="s">
        <v>115</v>
      </c>
      <c r="H84" s="6" t="s">
        <v>110</v>
      </c>
      <c r="I84" s="13" t="s">
        <v>116</v>
      </c>
      <c r="J84" s="13" t="s">
        <v>117</v>
      </c>
      <c r="K84" s="13" t="s">
        <v>114</v>
      </c>
    </row>
    <row r="85" ht="22.5" customHeight="1">
      <c r="A85" s="10">
        <v>2021.0</v>
      </c>
      <c r="B85" s="10">
        <v>2.0</v>
      </c>
      <c r="C85" s="10">
        <v>1.0</v>
      </c>
      <c r="D85" s="11"/>
      <c r="E85" s="12">
        <f t="shared" si="1"/>
        <v>3</v>
      </c>
      <c r="G85" s="3" t="s">
        <v>118</v>
      </c>
      <c r="H85" s="3">
        <v>0.0</v>
      </c>
      <c r="I85" s="3">
        <v>21.0</v>
      </c>
      <c r="J85" s="3">
        <v>14.0</v>
      </c>
      <c r="K85" s="3">
        <v>35.0</v>
      </c>
    </row>
    <row r="86" ht="22.5" customHeight="1">
      <c r="A86" s="10">
        <v>2022.0</v>
      </c>
      <c r="B86" s="10">
        <v>4.0</v>
      </c>
      <c r="C86" s="11"/>
      <c r="D86" s="11"/>
      <c r="E86" s="12">
        <f t="shared" si="1"/>
        <v>4</v>
      </c>
      <c r="G86" s="3" t="s">
        <v>89</v>
      </c>
      <c r="H86" s="3">
        <v>0.0</v>
      </c>
      <c r="I86" s="3">
        <v>7.0</v>
      </c>
      <c r="J86" s="3">
        <v>0.0</v>
      </c>
      <c r="K86" s="3">
        <v>7.0</v>
      </c>
    </row>
    <row r="87" ht="22.5" customHeight="1">
      <c r="A87" s="10">
        <v>2023.0</v>
      </c>
      <c r="B87" s="10">
        <v>8.0</v>
      </c>
      <c r="C87" s="11"/>
      <c r="D87" s="11"/>
      <c r="E87" s="12">
        <f t="shared" si="1"/>
        <v>8</v>
      </c>
      <c r="G87" s="3" t="s">
        <v>37</v>
      </c>
      <c r="H87" s="3">
        <v>0.0</v>
      </c>
      <c r="I87" s="3">
        <v>6.0</v>
      </c>
      <c r="J87" s="3">
        <v>0.0</v>
      </c>
      <c r="K87" s="3">
        <v>6.0</v>
      </c>
    </row>
    <row r="88" ht="22.5" customHeight="1">
      <c r="A88" s="10">
        <v>2024.0</v>
      </c>
      <c r="B88" s="10">
        <v>11.0</v>
      </c>
      <c r="C88" s="11"/>
      <c r="D88" s="10">
        <v>1.0</v>
      </c>
      <c r="E88" s="12">
        <f t="shared" si="1"/>
        <v>12</v>
      </c>
      <c r="G88" s="3" t="s">
        <v>20</v>
      </c>
      <c r="H88" s="3">
        <v>0.0</v>
      </c>
      <c r="I88" s="3">
        <v>3.0</v>
      </c>
      <c r="J88" s="3">
        <v>0.0</v>
      </c>
      <c r="K88" s="3">
        <v>3.0</v>
      </c>
    </row>
    <row r="89" ht="22.5" customHeight="1">
      <c r="A89" s="10">
        <v>2025.0</v>
      </c>
      <c r="B89" s="10">
        <v>29.0</v>
      </c>
      <c r="C89" s="11"/>
      <c r="D89" s="10">
        <v>4.0</v>
      </c>
      <c r="E89" s="12">
        <f t="shared" si="1"/>
        <v>33</v>
      </c>
      <c r="G89" s="3" t="s">
        <v>42</v>
      </c>
      <c r="H89" s="3">
        <v>0.0</v>
      </c>
      <c r="I89" s="3">
        <v>0.0</v>
      </c>
      <c r="J89" s="3">
        <v>3.0</v>
      </c>
      <c r="K89" s="3">
        <v>3.0</v>
      </c>
    </row>
    <row r="90" ht="22.5" customHeight="1">
      <c r="A90" s="14" t="s">
        <v>114</v>
      </c>
      <c r="B90" s="12">
        <f>SUM(Taula1[Solution Proposal])</f>
        <v>55</v>
      </c>
      <c r="C90" s="15">
        <f>SUM(Taula1[Philosophical Paper])</f>
        <v>1</v>
      </c>
      <c r="D90" s="15">
        <f>SUM(Taula1[Literature Review])</f>
        <v>5</v>
      </c>
      <c r="E90" s="12">
        <f>SUM(Taula1[[#TOTALS],[Solution Proposal]:[Literature Review]])</f>
        <v>61</v>
      </c>
      <c r="G90" s="3" t="s">
        <v>39</v>
      </c>
      <c r="H90" s="3">
        <v>0.0</v>
      </c>
      <c r="I90" s="3">
        <v>3.0</v>
      </c>
      <c r="J90" s="3">
        <v>0.0</v>
      </c>
      <c r="K90" s="3">
        <v>3.0</v>
      </c>
    </row>
    <row r="91">
      <c r="B91" s="16">
        <f>Taula1[[#TOTALS],[Solution Proposal]]/Taula1[[#TOTALS],[Total]]</f>
        <v>0.9016393443</v>
      </c>
      <c r="C91" s="16">
        <f>Taula1[[#TOTALS],[Philosophical Paper]]/Taula1[[#TOTALS],[Total]]</f>
        <v>0.01639344262</v>
      </c>
      <c r="D91" s="16">
        <f>Taula1[[#TOTALS],[Literature Review]]/Taula1[[#TOTALS],[Total]]</f>
        <v>0.08196721311</v>
      </c>
      <c r="G91" s="3" t="s">
        <v>109</v>
      </c>
      <c r="H91" s="3">
        <v>2.0</v>
      </c>
      <c r="I91" s="3">
        <v>0.0</v>
      </c>
      <c r="J91" s="3">
        <v>0.0</v>
      </c>
      <c r="K91" s="3">
        <v>2.0</v>
      </c>
    </row>
    <row r="92">
      <c r="G92" s="3" t="s">
        <v>61</v>
      </c>
      <c r="H92" s="3">
        <v>0.0</v>
      </c>
      <c r="I92" s="3">
        <v>0.0</v>
      </c>
      <c r="J92" s="3">
        <v>2.0</v>
      </c>
      <c r="K92" s="3">
        <v>2.0</v>
      </c>
    </row>
    <row r="93">
      <c r="G93" s="3" t="s">
        <v>6</v>
      </c>
      <c r="H93" s="3">
        <v>0.0</v>
      </c>
      <c r="I93" s="3">
        <v>1.0</v>
      </c>
      <c r="J93" s="3">
        <v>0.0</v>
      </c>
      <c r="K93" s="3">
        <v>1.0</v>
      </c>
    </row>
    <row r="94">
      <c r="G94" s="3" t="s">
        <v>65</v>
      </c>
      <c r="H94" s="3">
        <v>0.0</v>
      </c>
      <c r="I94" s="3">
        <v>0.0</v>
      </c>
      <c r="J94" s="3">
        <v>1.0</v>
      </c>
      <c r="K94" s="3">
        <v>1.0</v>
      </c>
    </row>
    <row r="95">
      <c r="G95" s="3" t="s">
        <v>69</v>
      </c>
      <c r="H95" s="3">
        <v>0.0</v>
      </c>
      <c r="I95" s="3">
        <v>0.0</v>
      </c>
      <c r="J95" s="3">
        <v>1.0</v>
      </c>
      <c r="K95" s="3">
        <v>1.0</v>
      </c>
    </row>
    <row r="96">
      <c r="G96" s="3" t="s">
        <v>67</v>
      </c>
      <c r="H96" s="3">
        <v>0.0</v>
      </c>
      <c r="I96" s="3">
        <v>0.0</v>
      </c>
      <c r="J96" s="3">
        <v>1.0</v>
      </c>
      <c r="K96" s="3">
        <v>1.0</v>
      </c>
    </row>
    <row r="97">
      <c r="G97" s="3" t="s">
        <v>16</v>
      </c>
      <c r="H97" s="3">
        <v>0.0</v>
      </c>
      <c r="I97" s="3">
        <v>1.0</v>
      </c>
      <c r="J97" s="3">
        <v>0.0</v>
      </c>
      <c r="K97" s="3">
        <v>1.0</v>
      </c>
    </row>
    <row r="98">
      <c r="G98" s="3" t="s">
        <v>75</v>
      </c>
      <c r="H98" s="3">
        <v>0.0</v>
      </c>
      <c r="I98" s="3">
        <v>1.0</v>
      </c>
      <c r="J98" s="3">
        <v>0.0</v>
      </c>
      <c r="K98" s="3">
        <v>1.0</v>
      </c>
    </row>
    <row r="99">
      <c r="G99" s="3" t="s">
        <v>80</v>
      </c>
      <c r="H99" s="3">
        <v>0.0</v>
      </c>
      <c r="I99" s="3">
        <v>0.0</v>
      </c>
      <c r="J99" s="3">
        <v>1.0</v>
      </c>
      <c r="K99" s="3">
        <v>1.0</v>
      </c>
    </row>
    <row r="100">
      <c r="G100" s="3" t="s">
        <v>103</v>
      </c>
      <c r="H100" s="3">
        <v>0.0</v>
      </c>
      <c r="I100" s="3">
        <v>1.0</v>
      </c>
      <c r="J100" s="3">
        <v>0.0</v>
      </c>
      <c r="K100" s="3">
        <v>1.0</v>
      </c>
    </row>
    <row r="101">
      <c r="G101" s="3" t="s">
        <v>91</v>
      </c>
      <c r="H101" s="3">
        <v>0.0</v>
      </c>
      <c r="I101" s="3">
        <v>1.0</v>
      </c>
      <c r="J101" s="3">
        <v>0.0</v>
      </c>
      <c r="K101" s="3">
        <v>1.0</v>
      </c>
    </row>
    <row r="102">
      <c r="G102" s="3" t="s">
        <v>86</v>
      </c>
      <c r="H102" s="3">
        <v>0.0</v>
      </c>
      <c r="I102" s="3">
        <v>1.0</v>
      </c>
      <c r="J102" s="3">
        <v>0.0</v>
      </c>
      <c r="K102" s="3">
        <v>1.0</v>
      </c>
    </row>
    <row r="103">
      <c r="G103" s="3" t="s">
        <v>77</v>
      </c>
      <c r="H103" s="3">
        <v>0.0</v>
      </c>
      <c r="I103" s="3">
        <v>1.0</v>
      </c>
      <c r="J103" s="3">
        <v>0.0</v>
      </c>
      <c r="K103" s="3">
        <v>1.0</v>
      </c>
    </row>
    <row r="104">
      <c r="G104" s="3" t="s">
        <v>52</v>
      </c>
      <c r="H104" s="3">
        <v>0.0</v>
      </c>
      <c r="I104" s="3">
        <v>1.0</v>
      </c>
      <c r="J104" s="3">
        <v>0.0</v>
      </c>
      <c r="K104" s="3">
        <v>1.0</v>
      </c>
    </row>
    <row r="105">
      <c r="G105" s="3" t="s">
        <v>59</v>
      </c>
      <c r="H105" s="3">
        <v>0.0</v>
      </c>
      <c r="I105" s="3">
        <v>0.0</v>
      </c>
      <c r="J105" s="3">
        <v>1.0</v>
      </c>
      <c r="K105" s="3">
        <v>1.0</v>
      </c>
    </row>
    <row r="106">
      <c r="G106" s="3" t="s">
        <v>27</v>
      </c>
      <c r="H106" s="3">
        <v>0.0</v>
      </c>
      <c r="I106" s="3">
        <v>1.0</v>
      </c>
      <c r="J106" s="3">
        <v>0.0</v>
      </c>
      <c r="K106" s="3">
        <v>1.0</v>
      </c>
    </row>
    <row r="107">
      <c r="G107" s="3" t="s">
        <v>13</v>
      </c>
      <c r="H107" s="3">
        <v>0.0</v>
      </c>
      <c r="I107" s="3">
        <v>1.0</v>
      </c>
      <c r="J107" s="3">
        <v>0.0</v>
      </c>
      <c r="K107" s="3">
        <v>1.0</v>
      </c>
    </row>
    <row r="108">
      <c r="G108" s="3" t="s">
        <v>57</v>
      </c>
      <c r="H108" s="3">
        <v>0.0</v>
      </c>
      <c r="I108" s="3">
        <v>1.0</v>
      </c>
      <c r="J108" s="3">
        <v>0.0</v>
      </c>
      <c r="K108" s="3">
        <v>1.0</v>
      </c>
    </row>
    <row r="109">
      <c r="G109" s="3" t="s">
        <v>25</v>
      </c>
      <c r="H109" s="3">
        <v>0.0</v>
      </c>
      <c r="I109" s="3">
        <v>1.0</v>
      </c>
      <c r="J109" s="3">
        <v>0.0</v>
      </c>
      <c r="K109" s="3">
        <v>1.0</v>
      </c>
    </row>
    <row r="110">
      <c r="G110" s="3" t="s">
        <v>10</v>
      </c>
      <c r="H110" s="3">
        <v>0.0</v>
      </c>
      <c r="I110" s="3">
        <v>1.0</v>
      </c>
      <c r="J110" s="3">
        <v>0.0</v>
      </c>
      <c r="K110" s="3">
        <v>1.0</v>
      </c>
    </row>
    <row r="111">
      <c r="G111" s="3" t="s">
        <v>50</v>
      </c>
      <c r="H111" s="3">
        <v>0.0</v>
      </c>
      <c r="I111" s="3">
        <v>1.0</v>
      </c>
      <c r="J111" s="3">
        <v>0.0</v>
      </c>
      <c r="K111" s="3">
        <v>1.0</v>
      </c>
    </row>
    <row r="112">
      <c r="G112" s="3" t="s">
        <v>48</v>
      </c>
      <c r="H112" s="3">
        <v>0.0</v>
      </c>
      <c r="I112" s="3">
        <v>1.0</v>
      </c>
      <c r="J112" s="3">
        <v>0.0</v>
      </c>
      <c r="K112" s="3">
        <v>1.0</v>
      </c>
    </row>
    <row r="113">
      <c r="G113" s="3" t="s">
        <v>31</v>
      </c>
      <c r="H113" s="3">
        <v>0.0</v>
      </c>
      <c r="I113" s="3">
        <v>0.0</v>
      </c>
      <c r="J113" s="3">
        <v>1.0</v>
      </c>
      <c r="K113" s="3">
        <v>1.0</v>
      </c>
    </row>
    <row r="114">
      <c r="G114" s="3" t="s">
        <v>82</v>
      </c>
      <c r="H114" s="3">
        <v>0.0</v>
      </c>
      <c r="I114" s="3">
        <v>0.0</v>
      </c>
      <c r="J114" s="3">
        <v>1.0</v>
      </c>
      <c r="K114" s="3">
        <v>1.0</v>
      </c>
    </row>
    <row r="115">
      <c r="G115" s="3" t="s">
        <v>33</v>
      </c>
      <c r="H115" s="3">
        <v>0.0</v>
      </c>
      <c r="I115" s="3">
        <v>0.0</v>
      </c>
      <c r="J115" s="3">
        <v>1.0</v>
      </c>
      <c r="K115" s="3">
        <v>1.0</v>
      </c>
    </row>
    <row r="116">
      <c r="G116" s="3" t="s">
        <v>73</v>
      </c>
      <c r="H116" s="3">
        <v>0.0</v>
      </c>
      <c r="I116" s="3">
        <v>0.0</v>
      </c>
      <c r="J116" s="3">
        <v>1.0</v>
      </c>
      <c r="K116" s="3">
        <v>1.0</v>
      </c>
    </row>
    <row r="117">
      <c r="G117" s="3" t="s">
        <v>46</v>
      </c>
      <c r="H117" s="3">
        <v>0.0</v>
      </c>
      <c r="I117" s="3">
        <v>1.0</v>
      </c>
      <c r="J117" s="3">
        <v>0.0</v>
      </c>
      <c r="K117" s="3">
        <v>1.0</v>
      </c>
    </row>
    <row r="118">
      <c r="G118" s="3" t="s">
        <v>84</v>
      </c>
      <c r="H118" s="3">
        <v>0.0</v>
      </c>
      <c r="I118" s="3">
        <v>0.0</v>
      </c>
      <c r="J118" s="3">
        <v>1.0</v>
      </c>
      <c r="K118" s="3">
        <v>1.0</v>
      </c>
    </row>
    <row r="119">
      <c r="G119" s="3" t="s">
        <v>106</v>
      </c>
      <c r="H119" s="3">
        <v>0.0</v>
      </c>
      <c r="I119" s="3">
        <v>0.0</v>
      </c>
      <c r="J119" s="3">
        <v>1.0</v>
      </c>
      <c r="K119" s="3">
        <v>1.0</v>
      </c>
    </row>
    <row r="120">
      <c r="G120" s="3" t="s">
        <v>35</v>
      </c>
      <c r="H120" s="3">
        <v>0.0</v>
      </c>
      <c r="I120" s="3">
        <v>0.0</v>
      </c>
      <c r="J120" s="3">
        <v>1.0</v>
      </c>
      <c r="K120" s="3">
        <v>1.0</v>
      </c>
    </row>
    <row r="121">
      <c r="G121" s="3" t="s">
        <v>22</v>
      </c>
      <c r="H121" s="3">
        <v>0.0</v>
      </c>
      <c r="I121" s="3">
        <v>0.0</v>
      </c>
      <c r="J121" s="3">
        <v>1.0</v>
      </c>
      <c r="K121" s="3">
        <v>1.0</v>
      </c>
    </row>
    <row r="122">
      <c r="G122" s="3" t="s">
        <v>63</v>
      </c>
      <c r="H122" s="3">
        <v>0.0</v>
      </c>
      <c r="I122" s="3">
        <v>0.0</v>
      </c>
      <c r="J122" s="3">
        <v>1.0</v>
      </c>
      <c r="K122" s="3">
        <v>1.0</v>
      </c>
    </row>
    <row r="123">
      <c r="G123" s="3" t="s">
        <v>44</v>
      </c>
      <c r="H123" s="3">
        <v>0.0</v>
      </c>
      <c r="I123" s="3">
        <v>1.0</v>
      </c>
      <c r="J123" s="3">
        <v>0.0</v>
      </c>
      <c r="K123" s="3">
        <v>1.0</v>
      </c>
    </row>
    <row r="124">
      <c r="G124" s="3" t="s">
        <v>18</v>
      </c>
      <c r="H124" s="3">
        <v>0.0</v>
      </c>
      <c r="I124" s="3">
        <v>1.0</v>
      </c>
      <c r="J124" s="3">
        <v>0.0</v>
      </c>
      <c r="K124" s="3">
        <v>1.0</v>
      </c>
    </row>
    <row r="125">
      <c r="G125" s="3" t="s">
        <v>99</v>
      </c>
      <c r="H125" s="3">
        <v>0.0</v>
      </c>
      <c r="I125" s="3">
        <v>1.0</v>
      </c>
      <c r="J125" s="3">
        <v>0.0</v>
      </c>
      <c r="K125" s="3">
        <v>1.0</v>
      </c>
    </row>
    <row r="126">
      <c r="G126" s="3" t="s">
        <v>29</v>
      </c>
      <c r="H126" s="3">
        <v>0.0</v>
      </c>
      <c r="I126" s="3">
        <v>1.0</v>
      </c>
      <c r="J126" s="3">
        <v>0.0</v>
      </c>
      <c r="K126" s="3">
        <v>1.0</v>
      </c>
    </row>
    <row r="127">
      <c r="G127" s="3" t="s">
        <v>96</v>
      </c>
      <c r="H127" s="3">
        <v>0.0</v>
      </c>
      <c r="I127" s="3">
        <v>1.0</v>
      </c>
      <c r="J127" s="3">
        <v>0.0</v>
      </c>
      <c r="K127" s="3">
        <v>1.0</v>
      </c>
    </row>
    <row r="128">
      <c r="I128" s="17">
        <f t="shared" ref="I128:J128" si="2">SUM(I86:I127)</f>
        <v>40</v>
      </c>
      <c r="J128" s="17">
        <f t="shared" si="2"/>
        <v>19</v>
      </c>
    </row>
  </sheetData>
  <autoFilter ref="$G$84:$K$128">
    <sortState ref="G84:K128">
      <sortCondition descending="1" ref="K84:K128"/>
    </sortState>
  </autoFilter>
  <dataValidations>
    <dataValidation type="custom" allowBlank="1" showDropDown="1" sqref="A84:D89">
      <formula1>AND(ISNUMBER(A84),(NOT(OR(NOT(ISERROR(DATEVALUE(A84))), AND(ISNUMBER(A84), LEFT(CELL("format", A84))="D")))))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G1" s="3" t="s">
        <v>119</v>
      </c>
      <c r="H1" s="3" t="s">
        <v>120</v>
      </c>
    </row>
    <row r="2">
      <c r="A2" s="1" t="s">
        <v>0</v>
      </c>
      <c r="B2" s="2" t="s">
        <v>121</v>
      </c>
      <c r="C2" s="2"/>
      <c r="D2" s="2"/>
      <c r="E2" s="2"/>
      <c r="G2" s="3" t="s">
        <v>122</v>
      </c>
      <c r="H2" s="17">
        <f t="shared" ref="H2:H9" si="1">COUNTIF($B$3:$E$57,G2)</f>
        <v>22</v>
      </c>
    </row>
    <row r="3">
      <c r="A3" s="3" t="s">
        <v>5</v>
      </c>
      <c r="B3" s="3" t="s">
        <v>123</v>
      </c>
      <c r="C3" s="3" t="s">
        <v>124</v>
      </c>
      <c r="D3" s="3"/>
      <c r="E3" s="3"/>
      <c r="G3" s="3" t="s">
        <v>124</v>
      </c>
      <c r="H3" s="17">
        <f t="shared" si="1"/>
        <v>20</v>
      </c>
    </row>
    <row r="4">
      <c r="A4" s="3" t="s">
        <v>9</v>
      </c>
      <c r="B4" s="3" t="s">
        <v>125</v>
      </c>
      <c r="C4" s="3" t="s">
        <v>123</v>
      </c>
      <c r="D4" s="3" t="s">
        <v>126</v>
      </c>
      <c r="E4" s="3"/>
      <c r="G4" s="3" t="s">
        <v>123</v>
      </c>
      <c r="H4" s="17">
        <f t="shared" si="1"/>
        <v>19</v>
      </c>
    </row>
    <row r="5">
      <c r="A5" s="3" t="s">
        <v>15</v>
      </c>
      <c r="B5" s="3" t="s">
        <v>127</v>
      </c>
      <c r="C5" s="3" t="s">
        <v>123</v>
      </c>
      <c r="D5" s="3"/>
      <c r="E5" s="3"/>
      <c r="G5" s="3" t="s">
        <v>128</v>
      </c>
      <c r="H5" s="17">
        <f t="shared" si="1"/>
        <v>18</v>
      </c>
    </row>
    <row r="6">
      <c r="A6" s="3" t="s">
        <v>17</v>
      </c>
      <c r="B6" s="3" t="s">
        <v>129</v>
      </c>
      <c r="C6" s="3"/>
      <c r="D6" s="3"/>
      <c r="E6" s="3"/>
      <c r="G6" s="3" t="s">
        <v>126</v>
      </c>
      <c r="H6" s="17">
        <f t="shared" si="1"/>
        <v>18</v>
      </c>
    </row>
    <row r="7">
      <c r="A7" s="3" t="s">
        <v>19</v>
      </c>
      <c r="B7" s="3" t="s">
        <v>124</v>
      </c>
      <c r="C7" s="3" t="s">
        <v>122</v>
      </c>
      <c r="D7" s="3"/>
      <c r="E7" s="3"/>
      <c r="G7" s="3" t="s">
        <v>127</v>
      </c>
      <c r="H7" s="17">
        <f t="shared" si="1"/>
        <v>11</v>
      </c>
    </row>
    <row r="8">
      <c r="A8" s="3" t="s">
        <v>21</v>
      </c>
      <c r="B8" s="3" t="s">
        <v>123</v>
      </c>
      <c r="C8" s="3" t="s">
        <v>122</v>
      </c>
      <c r="D8" s="3" t="s">
        <v>126</v>
      </c>
      <c r="E8" s="3"/>
      <c r="G8" s="3" t="s">
        <v>125</v>
      </c>
      <c r="H8" s="17">
        <f t="shared" si="1"/>
        <v>5</v>
      </c>
    </row>
    <row r="9">
      <c r="A9" s="3" t="s">
        <v>26</v>
      </c>
      <c r="B9" s="3" t="s">
        <v>123</v>
      </c>
      <c r="C9" s="3" t="s">
        <v>127</v>
      </c>
      <c r="D9" s="3" t="s">
        <v>126</v>
      </c>
      <c r="G9" s="3" t="s">
        <v>129</v>
      </c>
      <c r="H9" s="17">
        <f t="shared" si="1"/>
        <v>5</v>
      </c>
    </row>
    <row r="10">
      <c r="A10" s="3" t="s">
        <v>28</v>
      </c>
      <c r="B10" s="3" t="s">
        <v>123</v>
      </c>
      <c r="C10" s="3" t="s">
        <v>127</v>
      </c>
      <c r="D10" s="3" t="s">
        <v>124</v>
      </c>
      <c r="E10" s="3"/>
    </row>
    <row r="11">
      <c r="A11" s="3" t="s">
        <v>30</v>
      </c>
      <c r="B11" s="3" t="s">
        <v>127</v>
      </c>
      <c r="C11" s="3" t="s">
        <v>126</v>
      </c>
      <c r="D11" s="3"/>
      <c r="E11" s="3"/>
    </row>
    <row r="12">
      <c r="A12" s="3" t="s">
        <v>32</v>
      </c>
      <c r="B12" s="3" t="s">
        <v>128</v>
      </c>
      <c r="C12" s="3" t="s">
        <v>124</v>
      </c>
      <c r="D12" s="3" t="s">
        <v>123</v>
      </c>
      <c r="E12" s="3"/>
    </row>
    <row r="13">
      <c r="A13" s="3" t="s">
        <v>34</v>
      </c>
      <c r="B13" s="3" t="s">
        <v>123</v>
      </c>
      <c r="C13" s="3" t="s">
        <v>122</v>
      </c>
      <c r="D13" s="3"/>
      <c r="E13" s="3"/>
    </row>
    <row r="14">
      <c r="A14" s="3" t="s">
        <v>36</v>
      </c>
      <c r="B14" s="3" t="s">
        <v>126</v>
      </c>
      <c r="C14" s="3" t="s">
        <v>122</v>
      </c>
      <c r="D14" s="3" t="s">
        <v>124</v>
      </c>
      <c r="E14" s="3"/>
    </row>
    <row r="15">
      <c r="A15" s="3" t="s">
        <v>38</v>
      </c>
      <c r="B15" s="3" t="s">
        <v>122</v>
      </c>
      <c r="D15" s="3"/>
      <c r="E15" s="3"/>
    </row>
    <row r="16">
      <c r="A16" s="3" t="s">
        <v>40</v>
      </c>
      <c r="B16" s="3" t="s">
        <v>124</v>
      </c>
      <c r="C16" s="3" t="s">
        <v>122</v>
      </c>
      <c r="D16" s="3" t="s">
        <v>126</v>
      </c>
      <c r="E16" s="3"/>
    </row>
    <row r="17">
      <c r="A17" s="3" t="s">
        <v>43</v>
      </c>
      <c r="B17" s="3" t="s">
        <v>127</v>
      </c>
      <c r="C17" s="3" t="s">
        <v>124</v>
      </c>
      <c r="E17" s="3"/>
    </row>
    <row r="18">
      <c r="A18" s="3" t="s">
        <v>45</v>
      </c>
      <c r="B18" s="3" t="s">
        <v>126</v>
      </c>
      <c r="C18" s="3" t="s">
        <v>123</v>
      </c>
      <c r="D18" s="3" t="s">
        <v>122</v>
      </c>
      <c r="E18" s="3"/>
    </row>
    <row r="19">
      <c r="A19" s="3" t="s">
        <v>47</v>
      </c>
      <c r="B19" s="3" t="s">
        <v>126</v>
      </c>
      <c r="C19" s="3" t="s">
        <v>124</v>
      </c>
      <c r="D19" s="3"/>
      <c r="E19" s="3"/>
    </row>
    <row r="20">
      <c r="A20" s="3" t="s">
        <v>51</v>
      </c>
      <c r="B20" s="3" t="s">
        <v>127</v>
      </c>
      <c r="C20" s="3"/>
      <c r="D20" s="3"/>
      <c r="E20" s="3"/>
    </row>
    <row r="21">
      <c r="A21" s="3" t="s">
        <v>53</v>
      </c>
      <c r="B21" s="3" t="s">
        <v>124</v>
      </c>
      <c r="C21" s="3"/>
      <c r="D21" s="3"/>
      <c r="E21" s="3"/>
    </row>
    <row r="22">
      <c r="A22" s="3" t="s">
        <v>54</v>
      </c>
      <c r="B22" s="3" t="s">
        <v>124</v>
      </c>
      <c r="C22" s="3" t="s">
        <v>128</v>
      </c>
    </row>
    <row r="23">
      <c r="A23" s="3" t="s">
        <v>55</v>
      </c>
      <c r="B23" s="3" t="s">
        <v>124</v>
      </c>
      <c r="C23" s="3" t="s">
        <v>128</v>
      </c>
    </row>
    <row r="24">
      <c r="A24" s="3" t="s">
        <v>56</v>
      </c>
      <c r="B24" s="3" t="s">
        <v>128</v>
      </c>
      <c r="C24" s="3" t="s">
        <v>129</v>
      </c>
      <c r="E24" s="3"/>
    </row>
    <row r="25">
      <c r="A25" s="3" t="s">
        <v>58</v>
      </c>
      <c r="B25" s="3" t="s">
        <v>128</v>
      </c>
      <c r="D25" s="3"/>
      <c r="E25" s="3"/>
    </row>
    <row r="26">
      <c r="A26" s="3" t="s">
        <v>60</v>
      </c>
      <c r="B26" s="3" t="s">
        <v>128</v>
      </c>
      <c r="C26" s="3" t="s">
        <v>123</v>
      </c>
      <c r="D26" s="3" t="s">
        <v>126</v>
      </c>
      <c r="E26" s="3" t="s">
        <v>122</v>
      </c>
    </row>
    <row r="27">
      <c r="A27" s="3" t="s">
        <v>62</v>
      </c>
      <c r="B27" s="3" t="s">
        <v>130</v>
      </c>
      <c r="C27" s="3" t="s">
        <v>124</v>
      </c>
      <c r="E27" s="3"/>
    </row>
    <row r="28">
      <c r="A28" s="3" t="s">
        <v>64</v>
      </c>
      <c r="B28" s="3" t="s">
        <v>126</v>
      </c>
      <c r="C28" s="3" t="s">
        <v>123</v>
      </c>
      <c r="D28" s="3" t="s">
        <v>128</v>
      </c>
      <c r="E28" s="3"/>
    </row>
    <row r="29">
      <c r="A29" s="3" t="s">
        <v>66</v>
      </c>
      <c r="B29" s="3" t="s">
        <v>122</v>
      </c>
      <c r="C29" s="3" t="s">
        <v>123</v>
      </c>
      <c r="D29" s="3" t="s">
        <v>128</v>
      </c>
      <c r="E29" s="3"/>
    </row>
    <row r="30">
      <c r="A30" s="3" t="s">
        <v>68</v>
      </c>
      <c r="B30" s="3" t="s">
        <v>127</v>
      </c>
      <c r="C30" s="3" t="s">
        <v>124</v>
      </c>
      <c r="D30" s="3" t="s">
        <v>126</v>
      </c>
    </row>
    <row r="31">
      <c r="A31" s="3" t="s">
        <v>70</v>
      </c>
      <c r="B31" s="3" t="s">
        <v>122</v>
      </c>
      <c r="C31" s="3" t="s">
        <v>124</v>
      </c>
      <c r="D31" s="3" t="s">
        <v>129</v>
      </c>
      <c r="E31" s="3"/>
    </row>
    <row r="32">
      <c r="A32" s="3" t="s">
        <v>71</v>
      </c>
      <c r="B32" s="3" t="s">
        <v>122</v>
      </c>
      <c r="C32" s="3" t="s">
        <v>125</v>
      </c>
      <c r="D32" s="3" t="s">
        <v>126</v>
      </c>
      <c r="E32" s="3"/>
    </row>
    <row r="33">
      <c r="A33" s="3" t="s">
        <v>72</v>
      </c>
      <c r="B33" s="3" t="s">
        <v>122</v>
      </c>
      <c r="C33" s="3" t="s">
        <v>128</v>
      </c>
      <c r="D33" s="3"/>
      <c r="E33" s="3"/>
    </row>
    <row r="34">
      <c r="A34" s="3" t="s">
        <v>76</v>
      </c>
      <c r="B34" s="3" t="s">
        <v>126</v>
      </c>
      <c r="C34" s="3" t="s">
        <v>129</v>
      </c>
      <c r="D34" s="3"/>
      <c r="E34" s="3"/>
    </row>
    <row r="35">
      <c r="A35" s="3" t="s">
        <v>78</v>
      </c>
      <c r="B35" s="3" t="s">
        <v>125</v>
      </c>
      <c r="C35" s="3" t="s">
        <v>127</v>
      </c>
      <c r="D35" s="3" t="s">
        <v>122</v>
      </c>
      <c r="E35" s="3"/>
    </row>
    <row r="36">
      <c r="A36" s="3" t="s">
        <v>79</v>
      </c>
      <c r="B36" s="3" t="s">
        <v>126</v>
      </c>
      <c r="C36" s="3" t="s">
        <v>128</v>
      </c>
      <c r="D36" s="3"/>
      <c r="E36" s="3"/>
    </row>
    <row r="37">
      <c r="A37" s="3" t="s">
        <v>81</v>
      </c>
      <c r="B37" s="3" t="s">
        <v>128</v>
      </c>
      <c r="C37" s="3" t="s">
        <v>128</v>
      </c>
      <c r="E37" s="3"/>
    </row>
    <row r="38">
      <c r="A38" s="3" t="s">
        <v>85</v>
      </c>
      <c r="B38" s="3" t="s">
        <v>126</v>
      </c>
      <c r="C38" s="3" t="s">
        <v>123</v>
      </c>
      <c r="D38" s="3"/>
      <c r="E38" s="3"/>
    </row>
    <row r="39">
      <c r="A39" s="3" t="s">
        <v>87</v>
      </c>
      <c r="B39" s="3" t="s">
        <v>122</v>
      </c>
      <c r="C39" s="3" t="s">
        <v>126</v>
      </c>
      <c r="D39" s="3" t="s">
        <v>128</v>
      </c>
      <c r="E39" s="3"/>
    </row>
    <row r="40">
      <c r="A40" s="3" t="s">
        <v>88</v>
      </c>
      <c r="B40" s="3" t="s">
        <v>122</v>
      </c>
    </row>
    <row r="41">
      <c r="A41" s="3" t="s">
        <v>90</v>
      </c>
      <c r="B41" s="3" t="s">
        <v>124</v>
      </c>
      <c r="C41" s="3" t="s">
        <v>128</v>
      </c>
      <c r="D41" s="3" t="s">
        <v>123</v>
      </c>
      <c r="E41" s="3"/>
    </row>
    <row r="42">
      <c r="A42" s="3" t="s">
        <v>92</v>
      </c>
      <c r="B42" s="3" t="s">
        <v>128</v>
      </c>
      <c r="D42" s="3"/>
      <c r="E42" s="3"/>
    </row>
    <row r="43">
      <c r="A43" s="3" t="s">
        <v>93</v>
      </c>
      <c r="B43" s="3" t="s">
        <v>123</v>
      </c>
      <c r="C43" s="3" t="s">
        <v>122</v>
      </c>
      <c r="E43" s="3"/>
    </row>
    <row r="44">
      <c r="A44" s="3" t="s">
        <v>94</v>
      </c>
      <c r="B44" s="3" t="s">
        <v>128</v>
      </c>
      <c r="C44" s="3" t="s">
        <v>126</v>
      </c>
      <c r="D44" s="3"/>
      <c r="E44" s="3"/>
    </row>
    <row r="45">
      <c r="A45" s="3" t="s">
        <v>95</v>
      </c>
      <c r="B45" s="3" t="s">
        <v>128</v>
      </c>
      <c r="C45" s="6" t="s">
        <v>127</v>
      </c>
      <c r="D45" s="3"/>
      <c r="E45" s="3"/>
    </row>
    <row r="46">
      <c r="A46" s="3" t="s">
        <v>97</v>
      </c>
      <c r="B46" s="3" t="s">
        <v>122</v>
      </c>
      <c r="C46" s="3" t="s">
        <v>123</v>
      </c>
      <c r="D46" s="3"/>
      <c r="E46" s="3"/>
    </row>
    <row r="47">
      <c r="A47" s="3" t="s">
        <v>98</v>
      </c>
      <c r="B47" s="3" t="s">
        <v>122</v>
      </c>
      <c r="C47" s="3" t="s">
        <v>125</v>
      </c>
      <c r="D47" s="3"/>
      <c r="E47" s="3"/>
    </row>
    <row r="48">
      <c r="A48" s="4" t="s">
        <v>100</v>
      </c>
      <c r="B48" s="6" t="s">
        <v>122</v>
      </c>
      <c r="C48" s="6"/>
      <c r="D48" s="6"/>
      <c r="E48" s="6"/>
    </row>
    <row r="49">
      <c r="A49" s="7" t="s">
        <v>101</v>
      </c>
      <c r="B49" s="6" t="s">
        <v>125</v>
      </c>
      <c r="C49" s="6" t="s">
        <v>123</v>
      </c>
      <c r="D49" s="6" t="s">
        <v>128</v>
      </c>
      <c r="E49" s="6"/>
    </row>
    <row r="50">
      <c r="A50" s="7" t="s">
        <v>102</v>
      </c>
      <c r="B50" s="3" t="s">
        <v>124</v>
      </c>
      <c r="C50" s="6" t="s">
        <v>127</v>
      </c>
      <c r="D50" s="6" t="s">
        <v>123</v>
      </c>
      <c r="E50" s="4"/>
    </row>
    <row r="51">
      <c r="A51" s="7" t="s">
        <v>104</v>
      </c>
      <c r="B51" s="6" t="s">
        <v>124</v>
      </c>
      <c r="C51" s="6" t="s">
        <v>122</v>
      </c>
      <c r="E51" s="6"/>
    </row>
    <row r="52">
      <c r="A52" s="7" t="s">
        <v>105</v>
      </c>
      <c r="B52" s="6" t="s">
        <v>122</v>
      </c>
      <c r="C52" s="6" t="s">
        <v>126</v>
      </c>
      <c r="D52" s="6"/>
      <c r="E52" s="6"/>
    </row>
    <row r="53">
      <c r="A53" s="7" t="s">
        <v>107</v>
      </c>
      <c r="B53" s="6" t="s">
        <v>129</v>
      </c>
      <c r="C53" s="6"/>
      <c r="D53" s="6"/>
      <c r="E53" s="6"/>
    </row>
    <row r="54">
      <c r="A54" s="7" t="s">
        <v>108</v>
      </c>
      <c r="B54" s="6" t="s">
        <v>124</v>
      </c>
      <c r="C54" s="6"/>
      <c r="D54" s="6"/>
      <c r="E54" s="6"/>
    </row>
    <row r="55">
      <c r="A55" s="7" t="s">
        <v>111</v>
      </c>
      <c r="B55" s="6" t="s">
        <v>127</v>
      </c>
      <c r="C55" s="6" t="s">
        <v>123</v>
      </c>
      <c r="D55" s="6"/>
      <c r="E55" s="6"/>
    </row>
    <row r="56">
      <c r="A56" s="7" t="s">
        <v>112</v>
      </c>
      <c r="B56" s="6" t="s">
        <v>124</v>
      </c>
      <c r="C56" s="6" t="s">
        <v>122</v>
      </c>
      <c r="D56" s="6"/>
      <c r="E56" s="6"/>
    </row>
    <row r="57">
      <c r="A57" s="7" t="s">
        <v>113</v>
      </c>
      <c r="B57" s="6" t="s">
        <v>124</v>
      </c>
      <c r="C57" s="6"/>
      <c r="D57" s="6"/>
      <c r="E57" s="6"/>
    </row>
    <row r="67">
      <c r="A67" s="1"/>
    </row>
    <row r="121">
      <c r="A121" s="4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1"/>
    </row>
    <row r="188">
      <c r="A188" s="4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1"/>
    </row>
    <row r="255">
      <c r="A255" s="4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1"/>
    </row>
    <row r="322">
      <c r="A322" s="4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1"/>
    </row>
    <row r="389">
      <c r="A389" s="4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1"/>
    </row>
    <row r="456">
      <c r="A456" s="4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1"/>
    </row>
    <row r="523">
      <c r="A523" s="4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1"/>
    </row>
    <row r="590">
      <c r="A590" s="4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1"/>
    </row>
    <row r="657">
      <c r="A657" s="4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1"/>
    </row>
    <row r="724">
      <c r="A724" s="4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1"/>
    </row>
    <row r="791">
      <c r="A791" s="4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1"/>
    </row>
    <row r="858">
      <c r="A858" s="4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1"/>
    </row>
    <row r="925">
      <c r="A925" s="4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</sheetData>
  <autoFilter ref="$G$1:$H$10">
    <sortState ref="G1:H10">
      <sortCondition descending="1" ref="H1:H10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131</v>
      </c>
      <c r="F1" s="3" t="s">
        <v>132</v>
      </c>
      <c r="G1" s="3" t="s">
        <v>133</v>
      </c>
    </row>
    <row r="2">
      <c r="A2" s="3" t="s">
        <v>5</v>
      </c>
      <c r="B2" s="3" t="s">
        <v>134</v>
      </c>
      <c r="E2" s="3" t="s">
        <v>134</v>
      </c>
      <c r="F2" s="3" t="s">
        <v>135</v>
      </c>
      <c r="G2" s="17">
        <f>COUNTIF($B$2:$B$56,F2)</f>
        <v>29</v>
      </c>
    </row>
    <row r="3">
      <c r="A3" s="3" t="s">
        <v>9</v>
      </c>
      <c r="B3" s="3" t="s">
        <v>134</v>
      </c>
      <c r="F3" s="3" t="s">
        <v>136</v>
      </c>
      <c r="G3" s="17">
        <f>COUNTIF($B$2:$B$56,$E$2)</f>
        <v>20</v>
      </c>
    </row>
    <row r="4">
      <c r="A4" s="3" t="s">
        <v>15</v>
      </c>
      <c r="B4" s="3" t="s">
        <v>134</v>
      </c>
      <c r="F4" s="3" t="s">
        <v>137</v>
      </c>
      <c r="G4" s="3">
        <v>4.0</v>
      </c>
    </row>
    <row r="5">
      <c r="A5" s="3" t="s">
        <v>17</v>
      </c>
      <c r="B5" s="3" t="s">
        <v>138</v>
      </c>
      <c r="F5" s="3" t="s">
        <v>139</v>
      </c>
      <c r="G5" s="17">
        <f>COUNTIF($B$2:$B$56,F5)</f>
        <v>2</v>
      </c>
    </row>
    <row r="6">
      <c r="A6" s="3" t="s">
        <v>19</v>
      </c>
      <c r="B6" s="3" t="s">
        <v>135</v>
      </c>
    </row>
    <row r="7">
      <c r="A7" s="3" t="s">
        <v>21</v>
      </c>
      <c r="B7" s="3" t="s">
        <v>135</v>
      </c>
    </row>
    <row r="8">
      <c r="A8" s="3" t="s">
        <v>26</v>
      </c>
      <c r="B8" s="3" t="s">
        <v>134</v>
      </c>
    </row>
    <row r="9">
      <c r="A9" s="3" t="s">
        <v>28</v>
      </c>
      <c r="B9" s="3" t="s">
        <v>135</v>
      </c>
    </row>
    <row r="10">
      <c r="A10" s="3" t="s">
        <v>30</v>
      </c>
      <c r="B10" s="3" t="s">
        <v>134</v>
      </c>
    </row>
    <row r="11">
      <c r="A11" s="3" t="s">
        <v>32</v>
      </c>
      <c r="B11" s="3" t="s">
        <v>140</v>
      </c>
    </row>
    <row r="12">
      <c r="A12" s="3" t="s">
        <v>34</v>
      </c>
      <c r="B12" s="3" t="s">
        <v>134</v>
      </c>
    </row>
    <row r="13">
      <c r="A13" s="3" t="s">
        <v>36</v>
      </c>
      <c r="B13" s="3" t="s">
        <v>135</v>
      </c>
    </row>
    <row r="14">
      <c r="A14" s="3" t="s">
        <v>38</v>
      </c>
      <c r="B14" s="3" t="s">
        <v>135</v>
      </c>
    </row>
    <row r="15">
      <c r="A15" s="3" t="s">
        <v>40</v>
      </c>
      <c r="B15" s="3" t="s">
        <v>135</v>
      </c>
    </row>
    <row r="16">
      <c r="A16" s="3" t="s">
        <v>43</v>
      </c>
      <c r="B16" s="3" t="s">
        <v>134</v>
      </c>
    </row>
    <row r="17">
      <c r="A17" s="3" t="s">
        <v>45</v>
      </c>
      <c r="B17" s="3" t="s">
        <v>135</v>
      </c>
    </row>
    <row r="18">
      <c r="A18" s="3" t="s">
        <v>47</v>
      </c>
      <c r="B18" s="3" t="s">
        <v>134</v>
      </c>
    </row>
    <row r="19">
      <c r="A19" s="3" t="s">
        <v>51</v>
      </c>
      <c r="B19" s="3" t="s">
        <v>135</v>
      </c>
    </row>
    <row r="20">
      <c r="A20" s="3" t="s">
        <v>53</v>
      </c>
      <c r="B20" s="3" t="s">
        <v>135</v>
      </c>
    </row>
    <row r="21">
      <c r="A21" s="3" t="s">
        <v>54</v>
      </c>
      <c r="B21" s="3" t="s">
        <v>135</v>
      </c>
    </row>
    <row r="22">
      <c r="A22" s="3" t="s">
        <v>55</v>
      </c>
      <c r="B22" s="3" t="s">
        <v>135</v>
      </c>
    </row>
    <row r="23">
      <c r="A23" s="3" t="s">
        <v>56</v>
      </c>
      <c r="B23" s="3" t="s">
        <v>135</v>
      </c>
    </row>
    <row r="24">
      <c r="A24" s="3" t="s">
        <v>58</v>
      </c>
      <c r="B24" s="3" t="s">
        <v>135</v>
      </c>
    </row>
    <row r="25">
      <c r="A25" s="3" t="s">
        <v>60</v>
      </c>
      <c r="B25" s="3" t="s">
        <v>135</v>
      </c>
    </row>
    <row r="26">
      <c r="A26" s="3" t="s">
        <v>62</v>
      </c>
      <c r="B26" s="3" t="s">
        <v>134</v>
      </c>
    </row>
    <row r="27">
      <c r="A27" s="3" t="s">
        <v>64</v>
      </c>
      <c r="B27" s="3" t="s">
        <v>139</v>
      </c>
    </row>
    <row r="28">
      <c r="A28" s="3" t="s">
        <v>66</v>
      </c>
      <c r="B28" s="3" t="s">
        <v>135</v>
      </c>
    </row>
    <row r="29">
      <c r="A29" s="3" t="s">
        <v>68</v>
      </c>
      <c r="B29" s="3" t="s">
        <v>135</v>
      </c>
    </row>
    <row r="30">
      <c r="A30" s="3" t="s">
        <v>70</v>
      </c>
      <c r="B30" s="3" t="s">
        <v>135</v>
      </c>
    </row>
    <row r="31">
      <c r="A31" s="3" t="s">
        <v>71</v>
      </c>
      <c r="B31" s="3" t="s">
        <v>135</v>
      </c>
    </row>
    <row r="32">
      <c r="A32" s="3" t="s">
        <v>72</v>
      </c>
      <c r="B32" s="3" t="s">
        <v>135</v>
      </c>
    </row>
    <row r="33">
      <c r="A33" s="3" t="s">
        <v>76</v>
      </c>
      <c r="B33" s="3" t="s">
        <v>135</v>
      </c>
    </row>
    <row r="34">
      <c r="A34" s="3" t="s">
        <v>78</v>
      </c>
      <c r="B34" s="3" t="s">
        <v>141</v>
      </c>
    </row>
    <row r="35">
      <c r="A35" s="3" t="s">
        <v>79</v>
      </c>
      <c r="B35" s="3" t="s">
        <v>135</v>
      </c>
    </row>
    <row r="36">
      <c r="A36" s="3" t="s">
        <v>81</v>
      </c>
      <c r="B36" s="3" t="s">
        <v>134</v>
      </c>
    </row>
    <row r="37">
      <c r="A37" s="3" t="s">
        <v>85</v>
      </c>
      <c r="B37" s="3" t="s">
        <v>134</v>
      </c>
    </row>
    <row r="38">
      <c r="A38" s="3" t="s">
        <v>87</v>
      </c>
      <c r="B38" s="3" t="s">
        <v>134</v>
      </c>
    </row>
    <row r="39">
      <c r="A39" s="3" t="s">
        <v>88</v>
      </c>
      <c r="B39" s="3" t="s">
        <v>134</v>
      </c>
    </row>
    <row r="40">
      <c r="A40" s="3" t="s">
        <v>90</v>
      </c>
      <c r="B40" s="3" t="s">
        <v>139</v>
      </c>
    </row>
    <row r="41">
      <c r="A41" s="3" t="s">
        <v>92</v>
      </c>
      <c r="B41" s="3" t="s">
        <v>135</v>
      </c>
    </row>
    <row r="42">
      <c r="A42" s="3" t="s">
        <v>93</v>
      </c>
      <c r="B42" s="3" t="s">
        <v>134</v>
      </c>
    </row>
    <row r="43">
      <c r="A43" s="3" t="s">
        <v>94</v>
      </c>
      <c r="B43" s="3" t="s">
        <v>134</v>
      </c>
    </row>
    <row r="44">
      <c r="A44" s="3" t="s">
        <v>95</v>
      </c>
      <c r="B44" s="3" t="s">
        <v>142</v>
      </c>
    </row>
    <row r="45">
      <c r="A45" s="3" t="s">
        <v>97</v>
      </c>
      <c r="B45" s="3" t="s">
        <v>134</v>
      </c>
    </row>
    <row r="46">
      <c r="A46" s="3" t="s">
        <v>98</v>
      </c>
      <c r="B46" s="3" t="s">
        <v>135</v>
      </c>
    </row>
    <row r="47">
      <c r="A47" s="4" t="s">
        <v>100</v>
      </c>
      <c r="B47" s="4" t="s">
        <v>134</v>
      </c>
    </row>
    <row r="48">
      <c r="A48" s="7" t="s">
        <v>101</v>
      </c>
      <c r="B48" s="4" t="s">
        <v>135</v>
      </c>
    </row>
    <row r="49">
      <c r="A49" s="7" t="s">
        <v>102</v>
      </c>
      <c r="B49" s="6" t="s">
        <v>135</v>
      </c>
    </row>
    <row r="50">
      <c r="A50" s="7" t="s">
        <v>104</v>
      </c>
      <c r="B50" s="4" t="s">
        <v>135</v>
      </c>
    </row>
    <row r="51">
      <c r="A51" s="7" t="s">
        <v>105</v>
      </c>
      <c r="B51" s="4" t="s">
        <v>134</v>
      </c>
    </row>
    <row r="52">
      <c r="A52" s="7" t="s">
        <v>107</v>
      </c>
      <c r="B52" s="4" t="s">
        <v>134</v>
      </c>
    </row>
    <row r="53">
      <c r="A53" s="7" t="s">
        <v>108</v>
      </c>
      <c r="B53" s="4" t="s">
        <v>135</v>
      </c>
    </row>
    <row r="54">
      <c r="A54" s="7" t="s">
        <v>111</v>
      </c>
      <c r="B54" s="4" t="s">
        <v>134</v>
      </c>
    </row>
    <row r="55">
      <c r="A55" s="7" t="s">
        <v>112</v>
      </c>
      <c r="B55" s="4" t="s">
        <v>135</v>
      </c>
    </row>
    <row r="56">
      <c r="A56" s="7" t="s">
        <v>113</v>
      </c>
      <c r="B56" s="4" t="s">
        <v>135</v>
      </c>
    </row>
  </sheetData>
  <autoFilter ref="$F$1:$G$5">
    <sortState ref="F1:G5">
      <sortCondition descending="1" ref="G1:G5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5"/>
    <col customWidth="1" min="4" max="4" width="21.88"/>
  </cols>
  <sheetData>
    <row r="1">
      <c r="A1" s="18" t="s">
        <v>0</v>
      </c>
      <c r="B1" s="18" t="s">
        <v>121</v>
      </c>
      <c r="G1" s="3" t="s">
        <v>143</v>
      </c>
      <c r="J1" s="3" t="s">
        <v>144</v>
      </c>
    </row>
    <row r="2">
      <c r="A2" s="7" t="s">
        <v>19</v>
      </c>
      <c r="B2" s="4" t="s">
        <v>124</v>
      </c>
      <c r="C2" s="4" t="s">
        <v>122</v>
      </c>
      <c r="D2" s="7"/>
      <c r="E2" s="7"/>
      <c r="F2" s="2"/>
      <c r="G2" s="17">
        <f>IFERROR(__xludf.DUMMYFUNCTION("COUNTUNIQUE(A2:A30)"),29.0)</f>
        <v>29</v>
      </c>
      <c r="J2" s="16">
        <f>G4/G2</f>
        <v>0.3448275862</v>
      </c>
    </row>
    <row r="3">
      <c r="A3" s="4" t="s">
        <v>21</v>
      </c>
      <c r="B3" s="4" t="s">
        <v>123</v>
      </c>
      <c r="C3" s="4" t="s">
        <v>122</v>
      </c>
      <c r="D3" s="4" t="s">
        <v>126</v>
      </c>
      <c r="E3" s="4"/>
      <c r="G3" s="3" t="s">
        <v>145</v>
      </c>
    </row>
    <row r="4">
      <c r="A4" s="4" t="s">
        <v>28</v>
      </c>
      <c r="B4" s="4" t="s">
        <v>123</v>
      </c>
      <c r="C4" s="4" t="s">
        <v>127</v>
      </c>
      <c r="D4" s="4" t="s">
        <v>124</v>
      </c>
      <c r="E4" s="4"/>
      <c r="G4" s="17">
        <f>COUNTIF(B2:E30, "Computational Performance")</f>
        <v>10</v>
      </c>
    </row>
    <row r="5">
      <c r="A5" s="4" t="s">
        <v>36</v>
      </c>
      <c r="B5" s="4" t="s">
        <v>126</v>
      </c>
      <c r="C5" s="4" t="s">
        <v>122</v>
      </c>
      <c r="D5" s="4" t="s">
        <v>124</v>
      </c>
      <c r="E5" s="4"/>
    </row>
    <row r="6">
      <c r="A6" s="4" t="s">
        <v>38</v>
      </c>
      <c r="B6" s="4" t="s">
        <v>122</v>
      </c>
      <c r="C6" s="4"/>
      <c r="D6" s="4"/>
      <c r="E6" s="4"/>
    </row>
    <row r="7">
      <c r="A7" s="4" t="s">
        <v>40</v>
      </c>
      <c r="B7" s="4" t="s">
        <v>124</v>
      </c>
      <c r="C7" s="4" t="s">
        <v>122</v>
      </c>
      <c r="D7" s="4" t="s">
        <v>126</v>
      </c>
      <c r="E7" s="4"/>
      <c r="L7" s="18"/>
      <c r="M7" s="18"/>
    </row>
    <row r="8">
      <c r="A8" s="4" t="s">
        <v>45</v>
      </c>
      <c r="B8" s="4" t="s">
        <v>126</v>
      </c>
      <c r="C8" s="4" t="s">
        <v>123</v>
      </c>
      <c r="D8" s="4" t="s">
        <v>122</v>
      </c>
      <c r="E8" s="4"/>
      <c r="L8" s="4"/>
      <c r="M8" s="4"/>
      <c r="N8" s="4"/>
      <c r="O8" s="4"/>
      <c r="P8" s="4"/>
    </row>
    <row r="9">
      <c r="A9" s="4" t="s">
        <v>51</v>
      </c>
      <c r="B9" s="4" t="s">
        <v>127</v>
      </c>
      <c r="C9" s="4"/>
      <c r="D9" s="4"/>
      <c r="E9" s="4"/>
    </row>
    <row r="10">
      <c r="A10" s="4" t="s">
        <v>53</v>
      </c>
      <c r="B10" s="4" t="s">
        <v>124</v>
      </c>
      <c r="C10" s="4"/>
      <c r="D10" s="4"/>
      <c r="E10" s="4"/>
      <c r="L10" s="4"/>
      <c r="M10" s="4"/>
      <c r="N10" s="4"/>
      <c r="O10" s="4"/>
      <c r="P10" s="4"/>
    </row>
    <row r="11">
      <c r="A11" s="4" t="s">
        <v>54</v>
      </c>
      <c r="B11" s="4" t="s">
        <v>124</v>
      </c>
      <c r="C11" s="4" t="s">
        <v>128</v>
      </c>
      <c r="D11" s="4"/>
      <c r="E11" s="4"/>
    </row>
    <row r="12">
      <c r="A12" s="4" t="s">
        <v>55</v>
      </c>
      <c r="B12" s="4" t="s">
        <v>124</v>
      </c>
      <c r="C12" s="4" t="s">
        <v>128</v>
      </c>
      <c r="D12" s="4"/>
      <c r="E12" s="4"/>
    </row>
    <row r="13">
      <c r="A13" s="4" t="s">
        <v>56</v>
      </c>
      <c r="B13" s="4" t="s">
        <v>128</v>
      </c>
      <c r="C13" s="4" t="s">
        <v>129</v>
      </c>
      <c r="D13" s="4"/>
      <c r="E13" s="4"/>
    </row>
    <row r="14">
      <c r="A14" s="4" t="s">
        <v>58</v>
      </c>
      <c r="B14" s="4" t="s">
        <v>128</v>
      </c>
      <c r="C14" s="4"/>
      <c r="D14" s="4"/>
      <c r="E14" s="4"/>
      <c r="L14" s="4"/>
      <c r="M14" s="4"/>
      <c r="N14" s="4"/>
      <c r="O14" s="4"/>
      <c r="P14" s="4"/>
    </row>
    <row r="15">
      <c r="A15" s="4" t="s">
        <v>60</v>
      </c>
      <c r="B15" s="4" t="s">
        <v>128</v>
      </c>
      <c r="C15" s="4" t="s">
        <v>123</v>
      </c>
      <c r="D15" s="4" t="s">
        <v>126</v>
      </c>
      <c r="E15" s="4" t="s">
        <v>122</v>
      </c>
      <c r="L15" s="4"/>
      <c r="M15" s="4"/>
      <c r="N15" s="4"/>
      <c r="O15" s="4"/>
      <c r="P15" s="4"/>
    </row>
    <row r="16">
      <c r="A16" s="4" t="s">
        <v>66</v>
      </c>
      <c r="B16" s="4" t="s">
        <v>122</v>
      </c>
      <c r="C16" s="4" t="s">
        <v>123</v>
      </c>
      <c r="D16" s="4" t="s">
        <v>128</v>
      </c>
      <c r="E16" s="4"/>
      <c r="L16" s="4"/>
      <c r="M16" s="4"/>
      <c r="N16" s="4"/>
      <c r="O16" s="4"/>
      <c r="P16" s="4"/>
    </row>
    <row r="17">
      <c r="A17" s="4" t="s">
        <v>68</v>
      </c>
      <c r="B17" s="4" t="s">
        <v>127</v>
      </c>
      <c r="C17" s="4" t="s">
        <v>124</v>
      </c>
      <c r="D17" s="4" t="s">
        <v>126</v>
      </c>
      <c r="E17" s="4"/>
    </row>
    <row r="18">
      <c r="A18" s="4" t="s">
        <v>70</v>
      </c>
      <c r="B18" s="4" t="s">
        <v>122</v>
      </c>
      <c r="C18" s="4" t="s">
        <v>124</v>
      </c>
      <c r="D18" s="4" t="s">
        <v>129</v>
      </c>
      <c r="E18" s="4"/>
      <c r="L18" s="4"/>
      <c r="M18" s="4"/>
      <c r="N18" s="4"/>
      <c r="O18" s="4"/>
      <c r="P18" s="4"/>
    </row>
    <row r="19">
      <c r="A19" s="4" t="s">
        <v>71</v>
      </c>
      <c r="B19" s="4" t="s">
        <v>122</v>
      </c>
      <c r="C19" s="4" t="s">
        <v>125</v>
      </c>
      <c r="D19" s="4" t="s">
        <v>126</v>
      </c>
      <c r="E19" s="4"/>
    </row>
    <row r="20">
      <c r="A20" s="4" t="s">
        <v>72</v>
      </c>
      <c r="B20" s="4" t="s">
        <v>122</v>
      </c>
      <c r="C20" s="4" t="s">
        <v>128</v>
      </c>
      <c r="D20" s="4"/>
      <c r="E20" s="4"/>
      <c r="L20" s="4"/>
      <c r="M20" s="4"/>
      <c r="N20" s="4"/>
      <c r="O20" s="4"/>
      <c r="P20" s="4"/>
    </row>
    <row r="21">
      <c r="A21" s="4" t="s">
        <v>76</v>
      </c>
      <c r="B21" s="4" t="s">
        <v>126</v>
      </c>
      <c r="C21" s="4" t="s">
        <v>129</v>
      </c>
      <c r="D21" s="4"/>
      <c r="E21" s="4"/>
      <c r="L21" s="4"/>
      <c r="M21" s="4"/>
      <c r="N21" s="4"/>
      <c r="O21" s="4"/>
      <c r="P21" s="4"/>
    </row>
    <row r="22">
      <c r="A22" s="4" t="s">
        <v>79</v>
      </c>
      <c r="B22" s="4" t="s">
        <v>126</v>
      </c>
      <c r="C22" s="4" t="s">
        <v>128</v>
      </c>
      <c r="D22" s="4"/>
      <c r="E22" s="4"/>
      <c r="L22" s="4"/>
      <c r="M22" s="4"/>
      <c r="N22" s="4"/>
      <c r="O22" s="4"/>
      <c r="P22" s="4"/>
    </row>
    <row r="23">
      <c r="A23" s="4" t="s">
        <v>92</v>
      </c>
      <c r="B23" s="4" t="s">
        <v>128</v>
      </c>
      <c r="C23" s="4"/>
      <c r="D23" s="4"/>
      <c r="E23" s="4"/>
      <c r="L23" s="4"/>
      <c r="M23" s="4"/>
      <c r="N23" s="4"/>
      <c r="O23" s="4"/>
      <c r="P23" s="4"/>
    </row>
    <row r="24">
      <c r="A24" s="4" t="s">
        <v>98</v>
      </c>
      <c r="B24" s="4" t="s">
        <v>122</v>
      </c>
      <c r="C24" s="4" t="s">
        <v>125</v>
      </c>
      <c r="D24" s="4"/>
      <c r="E24" s="4"/>
      <c r="L24" s="4"/>
      <c r="M24" s="4"/>
      <c r="N24" s="4"/>
      <c r="O24" s="4"/>
      <c r="P24" s="4"/>
    </row>
    <row r="25">
      <c r="A25" s="4" t="s">
        <v>101</v>
      </c>
      <c r="B25" s="4" t="s">
        <v>125</v>
      </c>
      <c r="C25" s="4" t="s">
        <v>123</v>
      </c>
      <c r="D25" s="4" t="s">
        <v>128</v>
      </c>
      <c r="E25" s="4"/>
      <c r="L25" s="4"/>
      <c r="M25" s="4"/>
      <c r="N25" s="4"/>
      <c r="O25" s="4"/>
      <c r="P25" s="4"/>
    </row>
    <row r="26">
      <c r="A26" s="4" t="s">
        <v>102</v>
      </c>
      <c r="B26" s="4" t="s">
        <v>124</v>
      </c>
      <c r="C26" s="4" t="s">
        <v>127</v>
      </c>
      <c r="D26" s="4" t="s">
        <v>123</v>
      </c>
      <c r="E26" s="4"/>
      <c r="L26" s="4"/>
      <c r="M26" s="4"/>
      <c r="N26" s="4"/>
      <c r="O26" s="4"/>
      <c r="P26" s="4"/>
    </row>
    <row r="27">
      <c r="A27" s="4" t="s">
        <v>104</v>
      </c>
      <c r="B27" s="4" t="s">
        <v>124</v>
      </c>
      <c r="C27" s="4" t="s">
        <v>122</v>
      </c>
      <c r="D27" s="4"/>
      <c r="E27" s="4"/>
    </row>
    <row r="28">
      <c r="A28" s="4" t="s">
        <v>108</v>
      </c>
      <c r="B28" s="4" t="s">
        <v>124</v>
      </c>
      <c r="C28" s="4"/>
      <c r="D28" s="4"/>
      <c r="E28" s="4"/>
    </row>
    <row r="29">
      <c r="A29" s="4" t="s">
        <v>112</v>
      </c>
      <c r="B29" s="4" t="s">
        <v>124</v>
      </c>
      <c r="C29" s="4" t="s">
        <v>122</v>
      </c>
      <c r="D29" s="4"/>
      <c r="E29" s="4"/>
      <c r="L29" s="4"/>
      <c r="M29" s="4"/>
      <c r="N29" s="4"/>
      <c r="O29" s="4"/>
      <c r="P29" s="4"/>
    </row>
    <row r="30">
      <c r="A30" s="4" t="s">
        <v>113</v>
      </c>
      <c r="B30" s="4" t="s">
        <v>124</v>
      </c>
      <c r="C30" s="4"/>
      <c r="D30" s="4"/>
      <c r="E30" s="4"/>
      <c r="L30" s="4"/>
      <c r="M30" s="4"/>
      <c r="N30" s="4"/>
      <c r="O30" s="4"/>
      <c r="P30" s="4"/>
    </row>
    <row r="31">
      <c r="L31" s="4"/>
      <c r="M31" s="4"/>
      <c r="N31" s="4"/>
      <c r="O31" s="4"/>
      <c r="P31" s="4"/>
    </row>
    <row r="32">
      <c r="L32" s="4"/>
      <c r="M32" s="4"/>
      <c r="N32" s="4"/>
      <c r="O32" s="4"/>
      <c r="P32" s="4"/>
    </row>
    <row r="33">
      <c r="L33" s="4"/>
      <c r="M33" s="4"/>
      <c r="N33" s="4"/>
      <c r="O33" s="4"/>
      <c r="P33" s="4"/>
    </row>
    <row r="34">
      <c r="L34" s="4"/>
      <c r="M34" s="4"/>
      <c r="N34" s="4"/>
      <c r="O34" s="4"/>
      <c r="P34" s="4"/>
    </row>
    <row r="36">
      <c r="L36" s="4"/>
      <c r="M36" s="4"/>
      <c r="N36" s="4"/>
      <c r="O36" s="4"/>
      <c r="P36" s="4"/>
    </row>
    <row r="41">
      <c r="L41" s="4"/>
      <c r="M41" s="4"/>
      <c r="N41" s="4"/>
      <c r="O41" s="4"/>
      <c r="P41" s="4"/>
    </row>
    <row r="46">
      <c r="L46" s="4"/>
      <c r="M46" s="4"/>
      <c r="N46" s="4"/>
      <c r="O46" s="4"/>
      <c r="P46" s="4"/>
    </row>
    <row r="47">
      <c r="A47" s="4"/>
      <c r="C47" s="4"/>
      <c r="D47" s="6"/>
      <c r="E47" s="6"/>
      <c r="F47" s="6"/>
    </row>
    <row r="48">
      <c r="A48" s="7"/>
      <c r="B48" s="4"/>
      <c r="C48" s="4"/>
      <c r="L48" s="4"/>
      <c r="M48" s="4"/>
      <c r="N48" s="4"/>
      <c r="O48" s="4"/>
      <c r="P48" s="4"/>
    </row>
    <row r="49">
      <c r="A49" s="7"/>
      <c r="B49" s="4"/>
      <c r="C49" s="6"/>
      <c r="D49" s="6"/>
      <c r="E49" s="6"/>
      <c r="F49" s="6"/>
      <c r="L49" s="4"/>
      <c r="M49" s="4"/>
      <c r="N49" s="4"/>
      <c r="O49" s="4"/>
      <c r="P49" s="4"/>
    </row>
    <row r="50">
      <c r="A50" s="7"/>
      <c r="B50" s="6"/>
      <c r="C50" s="4"/>
      <c r="E50" s="6"/>
      <c r="F50" s="4"/>
      <c r="L50" s="4"/>
      <c r="M50" s="4"/>
      <c r="N50" s="4"/>
      <c r="O50" s="4"/>
      <c r="P50" s="4"/>
    </row>
    <row r="51">
      <c r="A51" s="7"/>
      <c r="B51" s="4"/>
      <c r="C51" s="4"/>
      <c r="D51" s="6"/>
      <c r="F51" s="6"/>
    </row>
    <row r="52">
      <c r="A52" s="7"/>
      <c r="B52" s="4"/>
      <c r="C52" s="4"/>
      <c r="D52" s="6"/>
      <c r="E52" s="6"/>
      <c r="F52" s="6"/>
    </row>
    <row r="53">
      <c r="A53" s="7"/>
      <c r="B53" s="4"/>
      <c r="C53" s="4"/>
      <c r="D53" s="6"/>
      <c r="E53" s="6"/>
      <c r="F53" s="6"/>
      <c r="L53" s="4"/>
      <c r="M53" s="4"/>
      <c r="N53" s="4"/>
      <c r="O53" s="4"/>
      <c r="P53" s="4"/>
    </row>
    <row r="54">
      <c r="A54" s="7"/>
      <c r="B54" s="4"/>
      <c r="C54" s="4"/>
      <c r="D54" s="6"/>
      <c r="E54" s="6"/>
      <c r="F54" s="6"/>
    </row>
    <row r="55">
      <c r="A55" s="7"/>
      <c r="B55" s="4"/>
      <c r="C55" s="4"/>
      <c r="D55" s="6"/>
      <c r="E55" s="6"/>
      <c r="F55" s="6"/>
      <c r="L55" s="4"/>
      <c r="M55" s="4"/>
      <c r="N55" s="4"/>
      <c r="O55" s="4"/>
      <c r="P55" s="4"/>
    </row>
    <row r="56">
      <c r="A56" s="7"/>
      <c r="B56" s="4"/>
      <c r="C56" s="4"/>
      <c r="D56" s="6"/>
      <c r="E56" s="6"/>
      <c r="F56" s="6"/>
      <c r="L56" s="4"/>
      <c r="M56" s="4"/>
      <c r="N56" s="4"/>
      <c r="O56" s="4"/>
      <c r="P56" s="4"/>
    </row>
    <row r="57">
      <c r="A57" s="7"/>
      <c r="B57" s="4"/>
      <c r="D57" s="6"/>
      <c r="E57" s="6"/>
      <c r="F57" s="6"/>
    </row>
    <row r="58">
      <c r="L58" s="4"/>
      <c r="M58" s="4"/>
      <c r="N58" s="4"/>
      <c r="O58" s="4"/>
      <c r="P58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6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</sheetData>
  <mergeCells count="2">
    <mergeCell ref="B1:E1"/>
    <mergeCell ref="M7:P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146</v>
      </c>
      <c r="E1" s="3" t="s">
        <v>132</v>
      </c>
      <c r="F1" s="3" t="s">
        <v>133</v>
      </c>
      <c r="G1" s="3" t="s">
        <v>144</v>
      </c>
    </row>
    <row r="2">
      <c r="A2" s="3" t="s">
        <v>5</v>
      </c>
      <c r="B2" s="3" t="s">
        <v>147</v>
      </c>
      <c r="E2" s="3" t="s">
        <v>148</v>
      </c>
      <c r="F2" s="17">
        <f t="shared" ref="F2:F3" si="1">COUNTIF($B$2:$B$56,E2)</f>
        <v>37</v>
      </c>
      <c r="G2" s="16">
        <f t="shared" ref="G2:G3" si="2">F2/$F$4</f>
        <v>0.6851851852</v>
      </c>
    </row>
    <row r="3">
      <c r="A3" s="3" t="s">
        <v>9</v>
      </c>
      <c r="B3" s="3" t="s">
        <v>147</v>
      </c>
      <c r="E3" s="3" t="s">
        <v>147</v>
      </c>
      <c r="F3" s="17">
        <f t="shared" si="1"/>
        <v>17</v>
      </c>
      <c r="G3" s="16">
        <f t="shared" si="2"/>
        <v>0.3148148148</v>
      </c>
    </row>
    <row r="4">
      <c r="A4" s="3" t="s">
        <v>15</v>
      </c>
      <c r="B4" s="3" t="s">
        <v>147</v>
      </c>
      <c r="E4" s="3" t="s">
        <v>114</v>
      </c>
      <c r="F4" s="17">
        <f>SUM(F2:F3)</f>
        <v>54</v>
      </c>
    </row>
    <row r="5">
      <c r="A5" s="3" t="s">
        <v>17</v>
      </c>
      <c r="B5" s="3" t="s">
        <v>148</v>
      </c>
    </row>
    <row r="6">
      <c r="A6" s="3" t="s">
        <v>19</v>
      </c>
      <c r="B6" s="3" t="s">
        <v>148</v>
      </c>
    </row>
    <row r="7">
      <c r="A7" s="3" t="s">
        <v>21</v>
      </c>
      <c r="B7" s="3" t="s">
        <v>148</v>
      </c>
    </row>
    <row r="8">
      <c r="A8" s="3" t="s">
        <v>26</v>
      </c>
      <c r="B8" s="3" t="s">
        <v>148</v>
      </c>
    </row>
    <row r="9">
      <c r="A9" s="3" t="s">
        <v>28</v>
      </c>
      <c r="B9" s="3" t="s">
        <v>148</v>
      </c>
    </row>
    <row r="10">
      <c r="A10" s="3" t="s">
        <v>30</v>
      </c>
      <c r="B10" s="3" t="s">
        <v>148</v>
      </c>
    </row>
    <row r="11">
      <c r="A11" s="3" t="s">
        <v>32</v>
      </c>
      <c r="B11" s="3" t="s">
        <v>148</v>
      </c>
    </row>
    <row r="12">
      <c r="A12" s="3" t="s">
        <v>34</v>
      </c>
      <c r="B12" s="3" t="s">
        <v>148</v>
      </c>
    </row>
    <row r="13">
      <c r="A13" s="3" t="s">
        <v>36</v>
      </c>
      <c r="B13" s="3" t="s">
        <v>148</v>
      </c>
    </row>
    <row r="14">
      <c r="A14" s="3" t="s">
        <v>38</v>
      </c>
      <c r="B14" s="3" t="s">
        <v>148</v>
      </c>
    </row>
    <row r="15">
      <c r="A15" s="3" t="s">
        <v>40</v>
      </c>
      <c r="B15" s="3" t="s">
        <v>148</v>
      </c>
    </row>
    <row r="16">
      <c r="A16" s="3" t="s">
        <v>43</v>
      </c>
      <c r="B16" s="3" t="s">
        <v>147</v>
      </c>
    </row>
    <row r="17">
      <c r="A17" s="3" t="s">
        <v>45</v>
      </c>
      <c r="B17" s="3" t="s">
        <v>147</v>
      </c>
    </row>
    <row r="18">
      <c r="A18" s="3" t="s">
        <v>47</v>
      </c>
      <c r="B18" s="3" t="s">
        <v>148</v>
      </c>
    </row>
    <row r="19">
      <c r="A19" s="3" t="s">
        <v>51</v>
      </c>
      <c r="B19" s="3" t="s">
        <v>147</v>
      </c>
    </row>
    <row r="20">
      <c r="A20" s="3" t="s">
        <v>53</v>
      </c>
      <c r="B20" s="3" t="s">
        <v>148</v>
      </c>
    </row>
    <row r="21">
      <c r="A21" s="3" t="s">
        <v>54</v>
      </c>
      <c r="B21" s="3" t="s">
        <v>148</v>
      </c>
    </row>
    <row r="22">
      <c r="A22" s="3" t="s">
        <v>55</v>
      </c>
      <c r="B22" s="3" t="s">
        <v>147</v>
      </c>
    </row>
    <row r="23">
      <c r="A23" s="3" t="s">
        <v>56</v>
      </c>
      <c r="B23" s="3" t="s">
        <v>148</v>
      </c>
    </row>
    <row r="24">
      <c r="A24" s="3" t="s">
        <v>58</v>
      </c>
      <c r="B24" s="3" t="s">
        <v>148</v>
      </c>
    </row>
    <row r="25">
      <c r="A25" s="3" t="s">
        <v>60</v>
      </c>
      <c r="B25" s="3" t="s">
        <v>147</v>
      </c>
    </row>
    <row r="26">
      <c r="A26" s="3" t="s">
        <v>62</v>
      </c>
      <c r="B26" s="3" t="s">
        <v>147</v>
      </c>
    </row>
    <row r="27">
      <c r="A27" s="3" t="s">
        <v>64</v>
      </c>
      <c r="B27" s="3" t="s">
        <v>148</v>
      </c>
    </row>
    <row r="28">
      <c r="A28" s="3" t="s">
        <v>66</v>
      </c>
      <c r="B28" s="3" t="s">
        <v>147</v>
      </c>
    </row>
    <row r="29">
      <c r="A29" s="3" t="s">
        <v>68</v>
      </c>
      <c r="B29" s="3" t="s">
        <v>148</v>
      </c>
    </row>
    <row r="30">
      <c r="A30" s="3" t="s">
        <v>70</v>
      </c>
      <c r="B30" s="3" t="s">
        <v>148</v>
      </c>
    </row>
    <row r="31">
      <c r="A31" s="3" t="s">
        <v>71</v>
      </c>
      <c r="B31" s="3" t="s">
        <v>148</v>
      </c>
    </row>
    <row r="32">
      <c r="A32" s="3" t="s">
        <v>72</v>
      </c>
      <c r="B32" s="3" t="s">
        <v>148</v>
      </c>
    </row>
    <row r="33">
      <c r="A33" s="3" t="s">
        <v>76</v>
      </c>
      <c r="B33" s="3" t="s">
        <v>147</v>
      </c>
    </row>
    <row r="34">
      <c r="A34" s="3" t="s">
        <v>78</v>
      </c>
      <c r="B34" s="3" t="s">
        <v>148</v>
      </c>
    </row>
    <row r="35">
      <c r="A35" s="3" t="s">
        <v>79</v>
      </c>
      <c r="B35" s="3" t="s">
        <v>148</v>
      </c>
    </row>
    <row r="36">
      <c r="A36" s="3" t="s">
        <v>81</v>
      </c>
      <c r="B36" s="3" t="s">
        <v>147</v>
      </c>
    </row>
    <row r="37">
      <c r="A37" s="3" t="s">
        <v>85</v>
      </c>
      <c r="B37" s="3" t="s">
        <v>148</v>
      </c>
    </row>
    <row r="38">
      <c r="A38" s="3" t="s">
        <v>87</v>
      </c>
      <c r="B38" s="3" t="s">
        <v>148</v>
      </c>
    </row>
    <row r="39">
      <c r="A39" s="3" t="s">
        <v>88</v>
      </c>
      <c r="B39" s="3" t="s">
        <v>148</v>
      </c>
    </row>
    <row r="40">
      <c r="A40" s="3" t="s">
        <v>90</v>
      </c>
      <c r="B40" s="3" t="s">
        <v>147</v>
      </c>
    </row>
    <row r="41">
      <c r="A41" s="3" t="s">
        <v>92</v>
      </c>
      <c r="B41" s="3" t="s">
        <v>147</v>
      </c>
    </row>
    <row r="42">
      <c r="A42" s="3" t="s">
        <v>93</v>
      </c>
      <c r="B42" s="3" t="s">
        <v>148</v>
      </c>
    </row>
    <row r="43">
      <c r="A43" s="3" t="s">
        <v>94</v>
      </c>
      <c r="B43" s="3" t="s">
        <v>148</v>
      </c>
    </row>
    <row r="44">
      <c r="A44" s="3" t="s">
        <v>95</v>
      </c>
      <c r="B44" s="3" t="s">
        <v>148</v>
      </c>
    </row>
    <row r="45">
      <c r="A45" s="3" t="s">
        <v>97</v>
      </c>
      <c r="B45" s="3" t="s">
        <v>147</v>
      </c>
    </row>
    <row r="46">
      <c r="A46" s="3" t="s">
        <v>98</v>
      </c>
      <c r="B46" s="3" t="s">
        <v>148</v>
      </c>
    </row>
    <row r="47">
      <c r="A47" s="4" t="s">
        <v>100</v>
      </c>
      <c r="B47" s="4" t="s">
        <v>148</v>
      </c>
    </row>
    <row r="48">
      <c r="A48" s="7" t="s">
        <v>101</v>
      </c>
      <c r="B48" s="4" t="s">
        <v>148</v>
      </c>
    </row>
    <row r="49">
      <c r="A49" s="7" t="s">
        <v>102</v>
      </c>
      <c r="B49" s="4" t="s">
        <v>148</v>
      </c>
    </row>
    <row r="50">
      <c r="A50" s="7" t="s">
        <v>104</v>
      </c>
      <c r="B50" s="4" t="s">
        <v>148</v>
      </c>
    </row>
    <row r="51">
      <c r="A51" s="7" t="s">
        <v>105</v>
      </c>
      <c r="B51" s="4" t="s">
        <v>148</v>
      </c>
    </row>
    <row r="52">
      <c r="A52" s="7" t="s">
        <v>107</v>
      </c>
      <c r="B52" s="4" t="s">
        <v>147</v>
      </c>
    </row>
    <row r="53">
      <c r="A53" s="7" t="s">
        <v>108</v>
      </c>
      <c r="B53" s="6" t="s">
        <v>149</v>
      </c>
    </row>
    <row r="54">
      <c r="A54" s="7" t="s">
        <v>111</v>
      </c>
      <c r="B54" s="4" t="s">
        <v>147</v>
      </c>
    </row>
    <row r="55">
      <c r="A55" s="7" t="s">
        <v>112</v>
      </c>
      <c r="B55" s="4" t="s">
        <v>148</v>
      </c>
    </row>
    <row r="56">
      <c r="A56" s="7" t="s">
        <v>113</v>
      </c>
      <c r="B56" s="4" t="s">
        <v>148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7" max="7" width="24.88"/>
  </cols>
  <sheetData>
    <row r="1">
      <c r="A1" s="1" t="s">
        <v>0</v>
      </c>
      <c r="B1" s="2" t="s">
        <v>150</v>
      </c>
      <c r="G1" s="3" t="s">
        <v>132</v>
      </c>
      <c r="H1" s="3" t="s">
        <v>133</v>
      </c>
    </row>
    <row r="2">
      <c r="A2" s="3" t="s">
        <v>5</v>
      </c>
      <c r="B2" s="3" t="s">
        <v>151</v>
      </c>
      <c r="G2" s="3" t="s">
        <v>152</v>
      </c>
      <c r="H2" s="17">
        <f>COUNTIF($B$2:$B$18,G2)</f>
        <v>5</v>
      </c>
    </row>
    <row r="3">
      <c r="A3" s="3" t="s">
        <v>9</v>
      </c>
      <c r="B3" s="3" t="s">
        <v>153</v>
      </c>
      <c r="G3" s="3" t="s">
        <v>153</v>
      </c>
      <c r="H3" s="17">
        <f t="shared" ref="H3:H7" si="1">COUNTIF($B$2:$C$67,G3)</f>
        <v>3</v>
      </c>
    </row>
    <row r="4">
      <c r="A4" s="3" t="s">
        <v>15</v>
      </c>
      <c r="B4" s="3" t="s">
        <v>154</v>
      </c>
      <c r="G4" s="3" t="s">
        <v>154</v>
      </c>
      <c r="H4" s="17">
        <f t="shared" si="1"/>
        <v>4</v>
      </c>
    </row>
    <row r="5">
      <c r="A5" s="3" t="s">
        <v>43</v>
      </c>
      <c r="B5" s="3" t="s">
        <v>152</v>
      </c>
      <c r="G5" s="3" t="s">
        <v>155</v>
      </c>
      <c r="H5" s="17">
        <f t="shared" si="1"/>
        <v>1</v>
      </c>
    </row>
    <row r="6">
      <c r="A6" s="3" t="s">
        <v>45</v>
      </c>
      <c r="B6" s="3" t="s">
        <v>154</v>
      </c>
      <c r="G6" s="3" t="s">
        <v>156</v>
      </c>
      <c r="H6" s="17">
        <f t="shared" si="1"/>
        <v>1</v>
      </c>
    </row>
    <row r="7">
      <c r="A7" s="3" t="s">
        <v>51</v>
      </c>
      <c r="B7" s="3" t="s">
        <v>155</v>
      </c>
      <c r="G7" s="3" t="s">
        <v>151</v>
      </c>
      <c r="H7" s="17">
        <f t="shared" si="1"/>
        <v>3</v>
      </c>
    </row>
    <row r="8">
      <c r="A8" s="3" t="s">
        <v>55</v>
      </c>
      <c r="B8" s="3" t="s">
        <v>151</v>
      </c>
    </row>
    <row r="9">
      <c r="A9" s="3" t="s">
        <v>60</v>
      </c>
      <c r="B9" s="3" t="s">
        <v>153</v>
      </c>
    </row>
    <row r="10">
      <c r="A10" s="3" t="s">
        <v>62</v>
      </c>
      <c r="B10" s="3" t="s">
        <v>152</v>
      </c>
    </row>
    <row r="11">
      <c r="A11" s="3" t="s">
        <v>66</v>
      </c>
      <c r="B11" s="3" t="s">
        <v>152</v>
      </c>
    </row>
    <row r="12">
      <c r="A12" s="3" t="s">
        <v>76</v>
      </c>
      <c r="B12" s="3" t="s">
        <v>152</v>
      </c>
    </row>
    <row r="13">
      <c r="A13" s="3" t="s">
        <v>81</v>
      </c>
      <c r="B13" s="3" t="s">
        <v>152</v>
      </c>
    </row>
    <row r="14">
      <c r="A14" s="3" t="s">
        <v>90</v>
      </c>
      <c r="B14" s="3" t="s">
        <v>154</v>
      </c>
    </row>
    <row r="15">
      <c r="A15" s="3" t="s">
        <v>92</v>
      </c>
      <c r="B15" s="3" t="s">
        <v>153</v>
      </c>
      <c r="K15" s="3" t="s">
        <v>157</v>
      </c>
    </row>
    <row r="16">
      <c r="A16" s="3" t="s">
        <v>97</v>
      </c>
      <c r="B16" s="3" t="s">
        <v>156</v>
      </c>
    </row>
    <row r="17">
      <c r="A17" s="7" t="s">
        <v>107</v>
      </c>
      <c r="B17" s="3" t="s">
        <v>151</v>
      </c>
    </row>
    <row r="18">
      <c r="A18" s="7" t="s">
        <v>111</v>
      </c>
      <c r="B18" s="3" t="s">
        <v>154</v>
      </c>
    </row>
    <row r="19">
      <c r="A19" s="6"/>
      <c r="B19" s="6"/>
    </row>
    <row r="20">
      <c r="A20" s="4"/>
      <c r="B20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7.75"/>
  </cols>
  <sheetData>
    <row r="2">
      <c r="A2" s="3" t="s">
        <v>158</v>
      </c>
      <c r="B2" s="3" t="s">
        <v>159</v>
      </c>
      <c r="C2" s="3" t="s">
        <v>160</v>
      </c>
      <c r="D2" s="3" t="s">
        <v>161</v>
      </c>
    </row>
    <row r="3">
      <c r="A3" s="3" t="s">
        <v>5</v>
      </c>
      <c r="B3" s="3" t="s">
        <v>162</v>
      </c>
      <c r="C3" s="3" t="s">
        <v>163</v>
      </c>
      <c r="D3" s="3" t="s">
        <v>164</v>
      </c>
      <c r="E3" s="3" t="s">
        <v>165</v>
      </c>
      <c r="F3" s="3" t="s">
        <v>166</v>
      </c>
      <c r="H3" s="3" t="s">
        <v>133</v>
      </c>
      <c r="M3" s="3" t="s">
        <v>167</v>
      </c>
    </row>
    <row r="4">
      <c r="A4" s="3" t="s">
        <v>9</v>
      </c>
      <c r="B4" s="3" t="s">
        <v>168</v>
      </c>
      <c r="C4" s="3" t="s">
        <v>169</v>
      </c>
      <c r="D4" s="3" t="s">
        <v>164</v>
      </c>
      <c r="E4" s="3" t="s">
        <v>165</v>
      </c>
      <c r="F4" s="3" t="s">
        <v>170</v>
      </c>
      <c r="G4" s="3" t="s">
        <v>171</v>
      </c>
      <c r="H4" s="19">
        <f t="shared" ref="H4:H7" si="1">COUNTIF($C$3:$C$57, "*"&amp;G4&amp;"*")</f>
        <v>26</v>
      </c>
    </row>
    <row r="5">
      <c r="A5" s="3" t="s">
        <v>15</v>
      </c>
      <c r="B5" s="3" t="s">
        <v>172</v>
      </c>
      <c r="C5" s="3" t="s">
        <v>173</v>
      </c>
      <c r="D5" s="3" t="s">
        <v>174</v>
      </c>
      <c r="E5" s="3" t="s">
        <v>165</v>
      </c>
      <c r="F5" s="3" t="s">
        <v>175</v>
      </c>
      <c r="G5" s="3" t="s">
        <v>173</v>
      </c>
      <c r="H5" s="19">
        <f t="shared" si="1"/>
        <v>14</v>
      </c>
      <c r="J5" s="20"/>
      <c r="M5" s="3" t="s">
        <v>176</v>
      </c>
    </row>
    <row r="6">
      <c r="A6" s="3" t="s">
        <v>17</v>
      </c>
      <c r="B6" s="3" t="s">
        <v>177</v>
      </c>
      <c r="C6" s="3" t="s">
        <v>173</v>
      </c>
      <c r="D6" s="3" t="s">
        <v>174</v>
      </c>
      <c r="E6" s="3" t="s">
        <v>165</v>
      </c>
      <c r="F6" s="3" t="s">
        <v>178</v>
      </c>
      <c r="G6" s="3" t="s">
        <v>163</v>
      </c>
      <c r="H6" s="19">
        <f t="shared" si="1"/>
        <v>13</v>
      </c>
      <c r="M6" s="20" t="s">
        <v>179</v>
      </c>
    </row>
    <row r="7">
      <c r="A7" s="3" t="s">
        <v>19</v>
      </c>
      <c r="B7" s="3" t="s">
        <v>180</v>
      </c>
      <c r="C7" s="3" t="s">
        <v>163</v>
      </c>
      <c r="D7" s="3" t="s">
        <v>181</v>
      </c>
      <c r="E7" s="3" t="s">
        <v>165</v>
      </c>
      <c r="F7" s="3" t="s">
        <v>182</v>
      </c>
      <c r="G7" s="3" t="s">
        <v>169</v>
      </c>
      <c r="H7" s="19">
        <f t="shared" si="1"/>
        <v>12</v>
      </c>
    </row>
    <row r="8">
      <c r="A8" s="3" t="s">
        <v>21</v>
      </c>
      <c r="B8" s="3" t="s">
        <v>183</v>
      </c>
      <c r="C8" s="3" t="s">
        <v>169</v>
      </c>
      <c r="D8" s="3" t="s">
        <v>184</v>
      </c>
      <c r="E8" s="3" t="s">
        <v>165</v>
      </c>
      <c r="H8" s="21"/>
      <c r="M8" s="20" t="s">
        <v>185</v>
      </c>
    </row>
    <row r="9">
      <c r="A9" s="3" t="s">
        <v>26</v>
      </c>
      <c r="B9" s="3" t="s">
        <v>186</v>
      </c>
      <c r="C9" s="3" t="s">
        <v>171</v>
      </c>
      <c r="D9" s="3" t="s">
        <v>174</v>
      </c>
      <c r="E9" s="3" t="s">
        <v>165</v>
      </c>
      <c r="H9" s="21"/>
      <c r="K9" s="21"/>
      <c r="M9" s="20" t="s">
        <v>187</v>
      </c>
    </row>
    <row r="10">
      <c r="A10" s="3" t="s">
        <v>28</v>
      </c>
      <c r="B10" s="3" t="s">
        <v>188</v>
      </c>
      <c r="C10" s="3" t="s">
        <v>171</v>
      </c>
      <c r="D10" s="3" t="s">
        <v>164</v>
      </c>
      <c r="E10" s="3" t="s">
        <v>165</v>
      </c>
      <c r="K10" s="22"/>
    </row>
    <row r="11">
      <c r="A11" s="3" t="s">
        <v>30</v>
      </c>
      <c r="B11" s="3" t="s">
        <v>189</v>
      </c>
      <c r="C11" s="3" t="s">
        <v>169</v>
      </c>
      <c r="D11" s="3" t="s">
        <v>181</v>
      </c>
      <c r="E11" s="3" t="s">
        <v>165</v>
      </c>
      <c r="K11" s="21"/>
      <c r="M11" s="20" t="s">
        <v>190</v>
      </c>
    </row>
    <row r="12">
      <c r="A12" s="3" t="s">
        <v>32</v>
      </c>
      <c r="B12" s="3" t="s">
        <v>191</v>
      </c>
      <c r="C12" s="3" t="s">
        <v>171</v>
      </c>
      <c r="D12" s="3" t="s">
        <v>181</v>
      </c>
      <c r="E12" s="3" t="s">
        <v>165</v>
      </c>
      <c r="K12" s="21"/>
      <c r="M12" s="20" t="s">
        <v>192</v>
      </c>
    </row>
    <row r="13">
      <c r="A13" s="3" t="s">
        <v>34</v>
      </c>
      <c r="B13" s="3" t="s">
        <v>193</v>
      </c>
      <c r="C13" s="3" t="s">
        <v>169</v>
      </c>
      <c r="D13" s="3" t="s">
        <v>194</v>
      </c>
      <c r="E13" s="3" t="s">
        <v>165</v>
      </c>
      <c r="K13" s="22"/>
    </row>
    <row r="14">
      <c r="A14" s="3" t="s">
        <v>36</v>
      </c>
      <c r="B14" s="3" t="s">
        <v>195</v>
      </c>
      <c r="C14" s="3" t="s">
        <v>163</v>
      </c>
      <c r="D14" s="3" t="s">
        <v>196</v>
      </c>
      <c r="E14" s="3" t="s">
        <v>165</v>
      </c>
      <c r="K14" s="21"/>
      <c r="M14" s="20" t="s">
        <v>197</v>
      </c>
    </row>
    <row r="15">
      <c r="A15" s="3" t="s">
        <v>38</v>
      </c>
      <c r="B15" s="3" t="s">
        <v>198</v>
      </c>
      <c r="C15" s="3" t="s">
        <v>163</v>
      </c>
      <c r="D15" s="3" t="s">
        <v>181</v>
      </c>
      <c r="E15" s="3" t="s">
        <v>165</v>
      </c>
      <c r="K15" s="22"/>
      <c r="M15" s="20" t="s">
        <v>199</v>
      </c>
    </row>
    <row r="16">
      <c r="A16" s="3" t="s">
        <v>40</v>
      </c>
      <c r="B16" s="3" t="s">
        <v>200</v>
      </c>
      <c r="C16" s="3" t="s">
        <v>163</v>
      </c>
      <c r="D16" s="3" t="s">
        <v>181</v>
      </c>
      <c r="E16" s="3" t="s">
        <v>165</v>
      </c>
      <c r="K16" s="21"/>
    </row>
    <row r="17">
      <c r="A17" s="3" t="s">
        <v>43</v>
      </c>
      <c r="B17" s="3" t="s">
        <v>201</v>
      </c>
      <c r="C17" s="3" t="s">
        <v>171</v>
      </c>
      <c r="D17" s="3" t="s">
        <v>194</v>
      </c>
      <c r="E17" s="3" t="s">
        <v>165</v>
      </c>
      <c r="K17" s="21"/>
    </row>
    <row r="18">
      <c r="A18" s="3" t="s">
        <v>45</v>
      </c>
      <c r="B18" s="3" t="s">
        <v>202</v>
      </c>
      <c r="C18" s="3" t="s">
        <v>203</v>
      </c>
      <c r="D18" s="3" t="s">
        <v>181</v>
      </c>
      <c r="E18" s="3" t="s">
        <v>165</v>
      </c>
      <c r="K18" s="22"/>
    </row>
    <row r="19">
      <c r="A19" s="3" t="s">
        <v>47</v>
      </c>
      <c r="B19" s="3" t="s">
        <v>204</v>
      </c>
      <c r="C19" s="3" t="s">
        <v>173</v>
      </c>
      <c r="D19" s="3" t="s">
        <v>174</v>
      </c>
      <c r="E19" s="3" t="s">
        <v>165</v>
      </c>
      <c r="K19" s="21"/>
    </row>
    <row r="20">
      <c r="A20" s="3" t="s">
        <v>51</v>
      </c>
      <c r="B20" s="3" t="s">
        <v>205</v>
      </c>
      <c r="C20" s="3" t="s">
        <v>173</v>
      </c>
      <c r="D20" s="3" t="s">
        <v>184</v>
      </c>
      <c r="E20" s="3" t="s">
        <v>165</v>
      </c>
      <c r="K20" s="22"/>
      <c r="O20" s="23"/>
    </row>
    <row r="21">
      <c r="A21" s="3" t="s">
        <v>53</v>
      </c>
      <c r="B21" s="3" t="s">
        <v>206</v>
      </c>
      <c r="C21" s="3" t="s">
        <v>173</v>
      </c>
      <c r="D21" s="3" t="s">
        <v>181</v>
      </c>
      <c r="E21" s="3" t="s">
        <v>165</v>
      </c>
      <c r="K21" s="21"/>
      <c r="O21" s="20"/>
    </row>
    <row r="22">
      <c r="A22" s="3" t="s">
        <v>54</v>
      </c>
      <c r="B22" s="3" t="s">
        <v>207</v>
      </c>
      <c r="C22" s="3" t="s">
        <v>173</v>
      </c>
      <c r="D22" s="3" t="s">
        <v>181</v>
      </c>
      <c r="E22" s="3" t="s">
        <v>165</v>
      </c>
      <c r="K22" s="21"/>
      <c r="O22" s="23"/>
    </row>
    <row r="23">
      <c r="A23" s="3" t="s">
        <v>55</v>
      </c>
      <c r="B23" s="3" t="s">
        <v>208</v>
      </c>
      <c r="C23" s="3" t="s">
        <v>209</v>
      </c>
      <c r="D23" s="3" t="s">
        <v>194</v>
      </c>
      <c r="E23" s="3" t="s">
        <v>165</v>
      </c>
      <c r="K23" s="22"/>
      <c r="O23" s="20"/>
    </row>
    <row r="24">
      <c r="A24" s="3" t="s">
        <v>56</v>
      </c>
      <c r="B24" s="3" t="s">
        <v>210</v>
      </c>
      <c r="C24" s="3" t="s">
        <v>211</v>
      </c>
      <c r="D24" s="3" t="s">
        <v>164</v>
      </c>
      <c r="E24" s="3" t="s">
        <v>165</v>
      </c>
      <c r="K24" s="21"/>
      <c r="O24" s="20"/>
    </row>
    <row r="25">
      <c r="A25" s="3" t="s">
        <v>58</v>
      </c>
      <c r="B25" s="3" t="s">
        <v>212</v>
      </c>
      <c r="C25" s="3" t="s">
        <v>171</v>
      </c>
      <c r="D25" s="3" t="s">
        <v>181</v>
      </c>
      <c r="E25" s="3" t="s">
        <v>165</v>
      </c>
      <c r="K25" s="22"/>
    </row>
    <row r="26">
      <c r="A26" s="3" t="s">
        <v>60</v>
      </c>
      <c r="B26" s="3" t="s">
        <v>213</v>
      </c>
      <c r="C26" s="3" t="s">
        <v>214</v>
      </c>
      <c r="D26" s="3" t="s">
        <v>215</v>
      </c>
      <c r="E26" s="3" t="s">
        <v>165</v>
      </c>
      <c r="K26" s="21"/>
      <c r="O26" s="20"/>
    </row>
    <row r="27">
      <c r="A27" s="3" t="s">
        <v>62</v>
      </c>
      <c r="B27" s="3" t="s">
        <v>216</v>
      </c>
      <c r="C27" s="3" t="s">
        <v>171</v>
      </c>
      <c r="D27" s="3" t="s">
        <v>184</v>
      </c>
      <c r="E27" s="3" t="s">
        <v>165</v>
      </c>
      <c r="K27" s="21"/>
      <c r="O27" s="20"/>
    </row>
    <row r="28">
      <c r="A28" s="3" t="s">
        <v>64</v>
      </c>
      <c r="B28" s="3" t="s">
        <v>217</v>
      </c>
      <c r="C28" s="3" t="s">
        <v>218</v>
      </c>
      <c r="D28" s="3" t="s">
        <v>174</v>
      </c>
      <c r="E28" s="3" t="s">
        <v>165</v>
      </c>
      <c r="K28" s="22"/>
    </row>
    <row r="29">
      <c r="A29" s="3" t="s">
        <v>66</v>
      </c>
      <c r="B29" s="3" t="s">
        <v>219</v>
      </c>
      <c r="C29" s="3" t="s">
        <v>171</v>
      </c>
      <c r="D29" s="3" t="s">
        <v>194</v>
      </c>
      <c r="E29" s="3" t="s">
        <v>165</v>
      </c>
      <c r="K29" s="21"/>
      <c r="O29" s="20"/>
    </row>
    <row r="30">
      <c r="A30" s="3" t="s">
        <v>68</v>
      </c>
      <c r="B30" s="3" t="s">
        <v>220</v>
      </c>
      <c r="C30" s="3" t="s">
        <v>171</v>
      </c>
      <c r="D30" s="3" t="s">
        <v>164</v>
      </c>
      <c r="E30" s="3" t="s">
        <v>165</v>
      </c>
      <c r="K30" s="22"/>
      <c r="O30" s="20"/>
    </row>
    <row r="31">
      <c r="A31" s="3" t="s">
        <v>70</v>
      </c>
      <c r="B31" s="3" t="s">
        <v>221</v>
      </c>
      <c r="C31" s="3" t="s">
        <v>169</v>
      </c>
      <c r="D31" s="3" t="s">
        <v>181</v>
      </c>
      <c r="K31" s="21"/>
    </row>
    <row r="32">
      <c r="A32" s="3" t="s">
        <v>71</v>
      </c>
      <c r="B32" s="3" t="s">
        <v>222</v>
      </c>
      <c r="C32" s="3" t="s">
        <v>173</v>
      </c>
      <c r="D32" s="3" t="s">
        <v>181</v>
      </c>
      <c r="E32" s="3" t="s">
        <v>165</v>
      </c>
      <c r="K32" s="21"/>
      <c r="O32" s="20"/>
    </row>
    <row r="33">
      <c r="A33" s="3" t="s">
        <v>72</v>
      </c>
      <c r="B33" s="3" t="s">
        <v>223</v>
      </c>
      <c r="C33" s="3" t="s">
        <v>163</v>
      </c>
      <c r="D33" s="3" t="s">
        <v>184</v>
      </c>
      <c r="E33" s="3" t="s">
        <v>165</v>
      </c>
      <c r="K33" s="22"/>
      <c r="O33" s="20"/>
    </row>
    <row r="34">
      <c r="A34" s="3" t="s">
        <v>76</v>
      </c>
      <c r="B34" s="3" t="s">
        <v>224</v>
      </c>
      <c r="C34" s="3" t="s">
        <v>163</v>
      </c>
      <c r="D34" s="3" t="s">
        <v>196</v>
      </c>
      <c r="E34" s="3" t="s">
        <v>165</v>
      </c>
      <c r="K34" s="21"/>
    </row>
    <row r="35">
      <c r="A35" s="3" t="s">
        <v>78</v>
      </c>
      <c r="B35" s="3" t="s">
        <v>225</v>
      </c>
      <c r="C35" s="3" t="s">
        <v>163</v>
      </c>
      <c r="D35" s="3" t="s">
        <v>196</v>
      </c>
      <c r="E35" s="3" t="s">
        <v>165</v>
      </c>
      <c r="K35" s="22"/>
      <c r="O35" s="20"/>
    </row>
    <row r="36">
      <c r="A36" s="3" t="s">
        <v>79</v>
      </c>
      <c r="B36" s="3" t="s">
        <v>226</v>
      </c>
      <c r="C36" s="3" t="s">
        <v>171</v>
      </c>
      <c r="D36" s="3" t="s">
        <v>181</v>
      </c>
      <c r="E36" s="3" t="s">
        <v>165</v>
      </c>
      <c r="K36" s="21"/>
      <c r="O36" s="20"/>
    </row>
    <row r="37">
      <c r="A37" s="3" t="s">
        <v>81</v>
      </c>
      <c r="B37" s="3" t="s">
        <v>227</v>
      </c>
      <c r="C37" s="3" t="s">
        <v>218</v>
      </c>
      <c r="D37" s="3" t="s">
        <v>184</v>
      </c>
      <c r="E37" s="3" t="s">
        <v>165</v>
      </c>
      <c r="K37" s="21"/>
    </row>
    <row r="38">
      <c r="A38" s="3" t="s">
        <v>85</v>
      </c>
      <c r="B38" s="3" t="s">
        <v>228</v>
      </c>
      <c r="C38" s="3" t="s">
        <v>169</v>
      </c>
      <c r="D38" s="3" t="s">
        <v>184</v>
      </c>
      <c r="E38" s="3" t="s">
        <v>165</v>
      </c>
      <c r="K38" s="22"/>
    </row>
    <row r="39">
      <c r="A39" s="3" t="s">
        <v>87</v>
      </c>
      <c r="B39" s="3" t="s">
        <v>229</v>
      </c>
      <c r="C39" s="3" t="s">
        <v>173</v>
      </c>
      <c r="D39" s="3" t="s">
        <v>230</v>
      </c>
      <c r="E39" s="3" t="s">
        <v>165</v>
      </c>
      <c r="K39" s="21"/>
    </row>
    <row r="40">
      <c r="A40" s="3" t="s">
        <v>88</v>
      </c>
      <c r="B40" s="3" t="s">
        <v>231</v>
      </c>
      <c r="C40" s="3" t="s">
        <v>171</v>
      </c>
      <c r="D40" s="3" t="s">
        <v>164</v>
      </c>
      <c r="E40" s="3" t="s">
        <v>165</v>
      </c>
      <c r="K40" s="22"/>
    </row>
    <row r="41">
      <c r="A41" s="3" t="s">
        <v>90</v>
      </c>
      <c r="B41" s="3" t="s">
        <v>232</v>
      </c>
      <c r="C41" s="3" t="s">
        <v>171</v>
      </c>
      <c r="D41" s="3" t="s">
        <v>164</v>
      </c>
      <c r="E41" s="3" t="s">
        <v>165</v>
      </c>
      <c r="K41" s="21"/>
    </row>
    <row r="42">
      <c r="A42" s="3" t="s">
        <v>92</v>
      </c>
      <c r="B42" s="3" t="s">
        <v>233</v>
      </c>
      <c r="C42" s="3" t="s">
        <v>169</v>
      </c>
      <c r="D42" s="3" t="s">
        <v>194</v>
      </c>
      <c r="E42" s="3" t="s">
        <v>165</v>
      </c>
    </row>
    <row r="43">
      <c r="A43" s="3" t="s">
        <v>93</v>
      </c>
      <c r="B43" s="3" t="s">
        <v>234</v>
      </c>
      <c r="C43" s="3" t="s">
        <v>171</v>
      </c>
      <c r="D43" s="3" t="s">
        <v>235</v>
      </c>
      <c r="E43" s="3" t="s">
        <v>165</v>
      </c>
    </row>
    <row r="44">
      <c r="A44" s="3" t="s">
        <v>94</v>
      </c>
      <c r="B44" s="3" t="s">
        <v>236</v>
      </c>
      <c r="C44" s="3" t="s">
        <v>169</v>
      </c>
      <c r="D44" s="3" t="s">
        <v>181</v>
      </c>
      <c r="E44" s="3" t="s">
        <v>165</v>
      </c>
    </row>
    <row r="45">
      <c r="A45" s="3" t="s">
        <v>95</v>
      </c>
      <c r="B45" s="3" t="s">
        <v>237</v>
      </c>
      <c r="C45" s="3" t="s">
        <v>203</v>
      </c>
      <c r="D45" s="3" t="s">
        <v>194</v>
      </c>
      <c r="E45" s="3" t="s">
        <v>165</v>
      </c>
    </row>
    <row r="46">
      <c r="A46" s="3" t="s">
        <v>97</v>
      </c>
      <c r="B46" s="3" t="s">
        <v>238</v>
      </c>
      <c r="C46" s="3" t="s">
        <v>171</v>
      </c>
      <c r="D46" s="3" t="s">
        <v>181</v>
      </c>
      <c r="E46" s="3" t="s">
        <v>165</v>
      </c>
    </row>
    <row r="47">
      <c r="A47" s="3" t="s">
        <v>98</v>
      </c>
      <c r="B47" s="3" t="s">
        <v>239</v>
      </c>
      <c r="C47" s="3" t="s">
        <v>169</v>
      </c>
      <c r="D47" s="3" t="s">
        <v>164</v>
      </c>
      <c r="E47" s="3" t="s">
        <v>165</v>
      </c>
    </row>
    <row r="48">
      <c r="A48" s="4" t="s">
        <v>100</v>
      </c>
      <c r="B48" s="6" t="s">
        <v>226</v>
      </c>
      <c r="C48" s="3" t="s">
        <v>171</v>
      </c>
      <c r="D48" s="3" t="s">
        <v>181</v>
      </c>
      <c r="E48" s="3" t="s">
        <v>165</v>
      </c>
    </row>
    <row r="49">
      <c r="A49" s="7" t="s">
        <v>101</v>
      </c>
      <c r="B49" s="6" t="s">
        <v>240</v>
      </c>
      <c r="C49" s="3" t="s">
        <v>211</v>
      </c>
      <c r="D49" s="3" t="s">
        <v>194</v>
      </c>
      <c r="E49" s="3" t="s">
        <v>165</v>
      </c>
    </row>
    <row r="50">
      <c r="A50" s="7" t="s">
        <v>102</v>
      </c>
      <c r="B50" s="6" t="s">
        <v>241</v>
      </c>
      <c r="C50" s="3" t="s">
        <v>171</v>
      </c>
      <c r="D50" s="3" t="s">
        <v>164</v>
      </c>
      <c r="E50" s="3" t="s">
        <v>165</v>
      </c>
    </row>
    <row r="51">
      <c r="A51" s="7" t="s">
        <v>104</v>
      </c>
      <c r="B51" s="6" t="s">
        <v>242</v>
      </c>
      <c r="C51" s="3" t="s">
        <v>171</v>
      </c>
      <c r="D51" s="3" t="s">
        <v>243</v>
      </c>
      <c r="E51" s="3" t="s">
        <v>165</v>
      </c>
    </row>
    <row r="52">
      <c r="A52" s="7" t="s">
        <v>105</v>
      </c>
      <c r="B52" s="6" t="s">
        <v>244</v>
      </c>
      <c r="C52" s="3" t="s">
        <v>163</v>
      </c>
      <c r="D52" s="3" t="s">
        <v>245</v>
      </c>
      <c r="E52" s="3" t="s">
        <v>165</v>
      </c>
    </row>
    <row r="53">
      <c r="A53" s="7" t="s">
        <v>107</v>
      </c>
      <c r="B53" s="4" t="s">
        <v>246</v>
      </c>
      <c r="C53" s="3" t="s">
        <v>171</v>
      </c>
      <c r="D53" s="3" t="s">
        <v>174</v>
      </c>
      <c r="E53" s="3" t="s">
        <v>165</v>
      </c>
    </row>
    <row r="54">
      <c r="A54" s="7" t="s">
        <v>108</v>
      </c>
      <c r="B54" s="4" t="s">
        <v>247</v>
      </c>
      <c r="C54" s="3" t="s">
        <v>163</v>
      </c>
      <c r="D54" s="3" t="s">
        <v>248</v>
      </c>
      <c r="E54" s="3" t="s">
        <v>165</v>
      </c>
    </row>
    <row r="55">
      <c r="A55" s="7" t="s">
        <v>111</v>
      </c>
      <c r="B55" s="4" t="s">
        <v>249</v>
      </c>
      <c r="C55" s="3" t="s">
        <v>173</v>
      </c>
      <c r="D55" s="3" t="s">
        <v>174</v>
      </c>
      <c r="E55" s="3" t="s">
        <v>165</v>
      </c>
    </row>
    <row r="56">
      <c r="A56" s="7" t="s">
        <v>112</v>
      </c>
      <c r="B56" s="4" t="s">
        <v>250</v>
      </c>
      <c r="C56" s="3" t="s">
        <v>171</v>
      </c>
      <c r="D56" s="3" t="s">
        <v>181</v>
      </c>
      <c r="E56" s="3" t="s">
        <v>165</v>
      </c>
    </row>
    <row r="57">
      <c r="A57" s="7" t="s">
        <v>113</v>
      </c>
      <c r="B57" s="4" t="s">
        <v>251</v>
      </c>
      <c r="C57" s="3" t="s">
        <v>173</v>
      </c>
      <c r="D57" s="3" t="s">
        <v>181</v>
      </c>
      <c r="E57" s="3" t="s">
        <v>165</v>
      </c>
    </row>
    <row r="58">
      <c r="B58" s="6"/>
    </row>
    <row r="59">
      <c r="B59" s="6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</sheetData>
  <autoFilter ref="$F$3:$H$7">
    <sortState ref="F3:H7">
      <sortCondition descending="1" ref="H3:H7"/>
    </sortState>
  </autoFilter>
  <mergeCells count="1">
    <mergeCell ref="F3:G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87.75"/>
  </cols>
  <sheetData>
    <row r="2">
      <c r="A2" s="3" t="s">
        <v>158</v>
      </c>
      <c r="B2" s="3" t="s">
        <v>159</v>
      </c>
      <c r="C2" s="3" t="s">
        <v>160</v>
      </c>
      <c r="D2" s="3" t="s">
        <v>161</v>
      </c>
    </row>
    <row r="3">
      <c r="A3" s="3" t="s">
        <v>5</v>
      </c>
      <c r="B3" s="3" t="s">
        <v>162</v>
      </c>
      <c r="C3" s="3" t="s">
        <v>163</v>
      </c>
      <c r="D3" s="3" t="s">
        <v>164</v>
      </c>
      <c r="E3" s="3" t="s">
        <v>165</v>
      </c>
      <c r="F3" s="3" t="s">
        <v>161</v>
      </c>
      <c r="H3" s="3" t="s">
        <v>133</v>
      </c>
      <c r="I3" s="3" t="s">
        <v>144</v>
      </c>
      <c r="K3" s="20" t="s">
        <v>252</v>
      </c>
    </row>
    <row r="4">
      <c r="A4" s="3" t="s">
        <v>9</v>
      </c>
      <c r="B4" s="3" t="s">
        <v>168</v>
      </c>
      <c r="C4" s="3" t="s">
        <v>169</v>
      </c>
      <c r="D4" s="3" t="s">
        <v>164</v>
      </c>
      <c r="E4" s="3" t="s">
        <v>165</v>
      </c>
      <c r="F4" s="3" t="s">
        <v>253</v>
      </c>
      <c r="G4" s="3" t="s">
        <v>181</v>
      </c>
      <c r="H4" s="19">
        <f t="shared" ref="H4:H8" si="1">COUNTIF($D$3:$D$57, "*"&amp;G4&amp;"*")</f>
        <v>22</v>
      </c>
      <c r="I4" s="16">
        <f t="shared" ref="I4:I8" si="2">H4/$H$10</f>
        <v>0.34375</v>
      </c>
      <c r="K4" s="23"/>
    </row>
    <row r="5">
      <c r="A5" s="3" t="s">
        <v>15</v>
      </c>
      <c r="B5" s="3" t="s">
        <v>172</v>
      </c>
      <c r="C5" s="3" t="s">
        <v>173</v>
      </c>
      <c r="D5" s="3" t="s">
        <v>174</v>
      </c>
      <c r="E5" s="3" t="s">
        <v>165</v>
      </c>
      <c r="F5" s="20" t="s">
        <v>254</v>
      </c>
      <c r="G5" s="3" t="s">
        <v>164</v>
      </c>
      <c r="H5" s="19">
        <f t="shared" si="1"/>
        <v>12</v>
      </c>
      <c r="I5" s="16">
        <f t="shared" si="2"/>
        <v>0.1875</v>
      </c>
      <c r="K5" s="20" t="s">
        <v>255</v>
      </c>
    </row>
    <row r="6">
      <c r="A6" s="3" t="s">
        <v>17</v>
      </c>
      <c r="B6" s="3" t="s">
        <v>177</v>
      </c>
      <c r="C6" s="3" t="s">
        <v>173</v>
      </c>
      <c r="D6" s="3" t="s">
        <v>174</v>
      </c>
      <c r="E6" s="3" t="s">
        <v>165</v>
      </c>
      <c r="F6" s="3" t="s">
        <v>256</v>
      </c>
      <c r="G6" s="3" t="s">
        <v>194</v>
      </c>
      <c r="H6" s="19">
        <f t="shared" si="1"/>
        <v>11</v>
      </c>
      <c r="I6" s="16">
        <f t="shared" si="2"/>
        <v>0.171875</v>
      </c>
      <c r="K6" s="20" t="s">
        <v>257</v>
      </c>
      <c r="O6" s="20"/>
    </row>
    <row r="7">
      <c r="A7" s="3" t="s">
        <v>19</v>
      </c>
      <c r="B7" s="3" t="s">
        <v>180</v>
      </c>
      <c r="C7" s="3" t="s">
        <v>163</v>
      </c>
      <c r="D7" s="3" t="s">
        <v>181</v>
      </c>
      <c r="E7" s="3" t="s">
        <v>165</v>
      </c>
      <c r="F7" s="3" t="s">
        <v>258</v>
      </c>
      <c r="G7" s="3" t="s">
        <v>184</v>
      </c>
      <c r="H7" s="19">
        <f t="shared" si="1"/>
        <v>11</v>
      </c>
      <c r="I7" s="16">
        <f t="shared" si="2"/>
        <v>0.171875</v>
      </c>
    </row>
    <row r="8">
      <c r="A8" s="3" t="s">
        <v>21</v>
      </c>
      <c r="B8" s="3" t="s">
        <v>183</v>
      </c>
      <c r="C8" s="3" t="s">
        <v>169</v>
      </c>
      <c r="D8" s="3" t="s">
        <v>184</v>
      </c>
      <c r="E8" s="3" t="s">
        <v>165</v>
      </c>
      <c r="F8" s="3" t="s">
        <v>259</v>
      </c>
      <c r="G8" s="3" t="s">
        <v>174</v>
      </c>
      <c r="H8" s="19">
        <f t="shared" si="1"/>
        <v>8</v>
      </c>
      <c r="I8" s="16">
        <f t="shared" si="2"/>
        <v>0.125</v>
      </c>
      <c r="K8" s="20" t="s">
        <v>260</v>
      </c>
      <c r="O8" s="20"/>
    </row>
    <row r="9">
      <c r="A9" s="3" t="s">
        <v>26</v>
      </c>
      <c r="B9" s="3" t="s">
        <v>186</v>
      </c>
      <c r="C9" s="3" t="s">
        <v>171</v>
      </c>
      <c r="D9" s="3" t="s">
        <v>174</v>
      </c>
      <c r="E9" s="3" t="s">
        <v>165</v>
      </c>
      <c r="H9" s="21"/>
      <c r="K9" s="20" t="s">
        <v>261</v>
      </c>
      <c r="O9" s="20"/>
    </row>
    <row r="10">
      <c r="A10" s="3" t="s">
        <v>28</v>
      </c>
      <c r="B10" s="3" t="s">
        <v>188</v>
      </c>
      <c r="C10" s="3" t="s">
        <v>171</v>
      </c>
      <c r="D10" s="3" t="s">
        <v>164</v>
      </c>
      <c r="E10" s="3" t="s">
        <v>165</v>
      </c>
      <c r="G10" s="3" t="s">
        <v>114</v>
      </c>
      <c r="H10" s="17">
        <f>SUM(H4:H8)</f>
        <v>64</v>
      </c>
    </row>
    <row r="11">
      <c r="A11" s="3" t="s">
        <v>30</v>
      </c>
      <c r="B11" s="3" t="s">
        <v>189</v>
      </c>
      <c r="C11" s="3" t="s">
        <v>169</v>
      </c>
      <c r="D11" s="3" t="s">
        <v>181</v>
      </c>
      <c r="E11" s="3" t="s">
        <v>165</v>
      </c>
      <c r="K11" s="20" t="s">
        <v>262</v>
      </c>
      <c r="O11" s="20"/>
    </row>
    <row r="12">
      <c r="A12" s="3" t="s">
        <v>32</v>
      </c>
      <c r="B12" s="3" t="s">
        <v>191</v>
      </c>
      <c r="C12" s="3" t="s">
        <v>171</v>
      </c>
      <c r="D12" s="3" t="s">
        <v>181</v>
      </c>
      <c r="E12" s="3" t="s">
        <v>165</v>
      </c>
      <c r="K12" s="20" t="s">
        <v>263</v>
      </c>
      <c r="O12" s="20"/>
    </row>
    <row r="13">
      <c r="A13" s="3" t="s">
        <v>34</v>
      </c>
      <c r="B13" s="3" t="s">
        <v>193</v>
      </c>
      <c r="C13" s="3" t="s">
        <v>169</v>
      </c>
      <c r="D13" s="3" t="s">
        <v>194</v>
      </c>
      <c r="E13" s="3" t="s">
        <v>165</v>
      </c>
    </row>
    <row r="14">
      <c r="A14" s="3" t="s">
        <v>36</v>
      </c>
      <c r="B14" s="3" t="s">
        <v>195</v>
      </c>
      <c r="C14" s="3" t="s">
        <v>163</v>
      </c>
      <c r="D14" s="3" t="s">
        <v>196</v>
      </c>
      <c r="E14" s="3" t="s">
        <v>165</v>
      </c>
      <c r="K14" s="20" t="s">
        <v>264</v>
      </c>
      <c r="O14" s="20"/>
    </row>
    <row r="15">
      <c r="A15" s="3" t="s">
        <v>38</v>
      </c>
      <c r="B15" s="3" t="s">
        <v>198</v>
      </c>
      <c r="C15" s="3" t="s">
        <v>163</v>
      </c>
      <c r="D15" s="3" t="s">
        <v>181</v>
      </c>
      <c r="E15" s="3" t="s">
        <v>165</v>
      </c>
      <c r="K15" s="20" t="s">
        <v>265</v>
      </c>
      <c r="O15" s="20"/>
    </row>
    <row r="16">
      <c r="A16" s="3" t="s">
        <v>40</v>
      </c>
      <c r="B16" s="3" t="s">
        <v>200</v>
      </c>
      <c r="C16" s="3" t="s">
        <v>163</v>
      </c>
      <c r="D16" s="3" t="s">
        <v>181</v>
      </c>
      <c r="E16" s="3" t="s">
        <v>165</v>
      </c>
    </row>
    <row r="17">
      <c r="A17" s="3" t="s">
        <v>43</v>
      </c>
      <c r="B17" s="3" t="s">
        <v>201</v>
      </c>
      <c r="C17" s="3" t="s">
        <v>171</v>
      </c>
      <c r="D17" s="3" t="s">
        <v>194</v>
      </c>
      <c r="E17" s="3" t="s">
        <v>165</v>
      </c>
      <c r="K17" s="20" t="s">
        <v>266</v>
      </c>
    </row>
    <row r="18">
      <c r="A18" s="3" t="s">
        <v>45</v>
      </c>
      <c r="B18" s="3" t="s">
        <v>202</v>
      </c>
      <c r="C18" s="3" t="s">
        <v>203</v>
      </c>
      <c r="D18" s="3" t="s">
        <v>181</v>
      </c>
      <c r="E18" s="3" t="s">
        <v>165</v>
      </c>
      <c r="K18" s="20" t="s">
        <v>267</v>
      </c>
    </row>
    <row r="19">
      <c r="A19" s="3" t="s">
        <v>47</v>
      </c>
      <c r="B19" s="3" t="s">
        <v>204</v>
      </c>
      <c r="C19" s="3" t="s">
        <v>173</v>
      </c>
      <c r="D19" s="3" t="s">
        <v>174</v>
      </c>
      <c r="E19" s="3" t="s">
        <v>165</v>
      </c>
      <c r="K19" s="21"/>
    </row>
    <row r="20">
      <c r="A20" s="3" t="s">
        <v>51</v>
      </c>
      <c r="B20" s="3" t="s">
        <v>205</v>
      </c>
      <c r="C20" s="3" t="s">
        <v>173</v>
      </c>
      <c r="D20" s="3" t="s">
        <v>184</v>
      </c>
      <c r="E20" s="3" t="s">
        <v>165</v>
      </c>
      <c r="K20" s="22"/>
      <c r="O20" s="23"/>
    </row>
    <row r="21">
      <c r="A21" s="3" t="s">
        <v>53</v>
      </c>
      <c r="B21" s="3" t="s">
        <v>206</v>
      </c>
      <c r="C21" s="3" t="s">
        <v>173</v>
      </c>
      <c r="D21" s="3" t="s">
        <v>181</v>
      </c>
      <c r="E21" s="3" t="s">
        <v>165</v>
      </c>
      <c r="K21" s="21"/>
    </row>
    <row r="22">
      <c r="A22" s="3" t="s">
        <v>54</v>
      </c>
      <c r="B22" s="3" t="s">
        <v>207</v>
      </c>
      <c r="C22" s="3" t="s">
        <v>173</v>
      </c>
      <c r="D22" s="3" t="s">
        <v>181</v>
      </c>
      <c r="E22" s="3" t="s">
        <v>165</v>
      </c>
      <c r="K22" s="21"/>
    </row>
    <row r="23">
      <c r="A23" s="3" t="s">
        <v>55</v>
      </c>
      <c r="B23" s="3" t="s">
        <v>208</v>
      </c>
      <c r="C23" s="3" t="s">
        <v>209</v>
      </c>
      <c r="D23" s="3" t="s">
        <v>194</v>
      </c>
      <c r="E23" s="3" t="s">
        <v>165</v>
      </c>
      <c r="K23" s="22"/>
    </row>
    <row r="24">
      <c r="A24" s="3" t="s">
        <v>56</v>
      </c>
      <c r="B24" s="3" t="s">
        <v>210</v>
      </c>
      <c r="C24" s="3" t="s">
        <v>211</v>
      </c>
      <c r="D24" s="3" t="s">
        <v>164</v>
      </c>
      <c r="E24" s="3" t="s">
        <v>165</v>
      </c>
      <c r="K24" s="21"/>
    </row>
    <row r="25">
      <c r="A25" s="3" t="s">
        <v>58</v>
      </c>
      <c r="B25" s="3" t="s">
        <v>212</v>
      </c>
      <c r="C25" s="3" t="s">
        <v>171</v>
      </c>
      <c r="D25" s="3" t="s">
        <v>181</v>
      </c>
      <c r="E25" s="3" t="s">
        <v>165</v>
      </c>
      <c r="K25" s="22"/>
    </row>
    <row r="26">
      <c r="A26" s="3" t="s">
        <v>60</v>
      </c>
      <c r="B26" s="3" t="s">
        <v>213</v>
      </c>
      <c r="C26" s="3" t="s">
        <v>214</v>
      </c>
      <c r="D26" s="3" t="s">
        <v>215</v>
      </c>
      <c r="E26" s="3" t="s">
        <v>165</v>
      </c>
      <c r="K26" s="21"/>
    </row>
    <row r="27">
      <c r="A27" s="3" t="s">
        <v>62</v>
      </c>
      <c r="B27" s="3" t="s">
        <v>216</v>
      </c>
      <c r="C27" s="3" t="s">
        <v>171</v>
      </c>
      <c r="D27" s="3" t="s">
        <v>184</v>
      </c>
      <c r="E27" s="3" t="s">
        <v>165</v>
      </c>
      <c r="K27" s="21"/>
    </row>
    <row r="28">
      <c r="A28" s="3" t="s">
        <v>64</v>
      </c>
      <c r="B28" s="3" t="s">
        <v>217</v>
      </c>
      <c r="C28" s="3" t="s">
        <v>218</v>
      </c>
      <c r="D28" s="3" t="s">
        <v>174</v>
      </c>
      <c r="E28" s="3" t="s">
        <v>165</v>
      </c>
      <c r="K28" s="22"/>
    </row>
    <row r="29">
      <c r="A29" s="3" t="s">
        <v>66</v>
      </c>
      <c r="B29" s="3" t="s">
        <v>219</v>
      </c>
      <c r="C29" s="3" t="s">
        <v>171</v>
      </c>
      <c r="D29" s="3" t="s">
        <v>194</v>
      </c>
      <c r="E29" s="3" t="s">
        <v>165</v>
      </c>
      <c r="K29" s="21"/>
    </row>
    <row r="30">
      <c r="A30" s="3" t="s">
        <v>68</v>
      </c>
      <c r="B30" s="3" t="s">
        <v>220</v>
      </c>
      <c r="C30" s="3" t="s">
        <v>171</v>
      </c>
      <c r="D30" s="3" t="s">
        <v>164</v>
      </c>
      <c r="E30" s="3" t="s">
        <v>165</v>
      </c>
      <c r="K30" s="22"/>
    </row>
    <row r="31">
      <c r="A31" s="3" t="s">
        <v>70</v>
      </c>
      <c r="B31" s="3" t="s">
        <v>221</v>
      </c>
      <c r="C31" s="3" t="s">
        <v>169</v>
      </c>
      <c r="D31" s="3" t="s">
        <v>181</v>
      </c>
      <c r="K31" s="21"/>
    </row>
    <row r="32">
      <c r="A32" s="3" t="s">
        <v>71</v>
      </c>
      <c r="B32" s="3" t="s">
        <v>222</v>
      </c>
      <c r="C32" s="3" t="s">
        <v>173</v>
      </c>
      <c r="D32" s="3" t="s">
        <v>181</v>
      </c>
      <c r="E32" s="3" t="s">
        <v>165</v>
      </c>
      <c r="K32" s="21"/>
    </row>
    <row r="33">
      <c r="A33" s="3" t="s">
        <v>72</v>
      </c>
      <c r="B33" s="3" t="s">
        <v>223</v>
      </c>
      <c r="C33" s="3" t="s">
        <v>163</v>
      </c>
      <c r="D33" s="3" t="s">
        <v>184</v>
      </c>
      <c r="E33" s="3" t="s">
        <v>165</v>
      </c>
      <c r="K33" s="22"/>
    </row>
    <row r="34">
      <c r="A34" s="3" t="s">
        <v>76</v>
      </c>
      <c r="B34" s="3" t="s">
        <v>224</v>
      </c>
      <c r="C34" s="3" t="s">
        <v>163</v>
      </c>
      <c r="D34" s="3" t="s">
        <v>196</v>
      </c>
      <c r="E34" s="3" t="s">
        <v>165</v>
      </c>
      <c r="K34" s="21"/>
    </row>
    <row r="35">
      <c r="A35" s="3" t="s">
        <v>78</v>
      </c>
      <c r="B35" s="3" t="s">
        <v>225</v>
      </c>
      <c r="C35" s="3" t="s">
        <v>163</v>
      </c>
      <c r="D35" s="3" t="s">
        <v>196</v>
      </c>
      <c r="E35" s="3" t="s">
        <v>165</v>
      </c>
      <c r="K35" s="22"/>
    </row>
    <row r="36">
      <c r="A36" s="3" t="s">
        <v>79</v>
      </c>
      <c r="B36" s="3" t="s">
        <v>226</v>
      </c>
      <c r="C36" s="3" t="s">
        <v>171</v>
      </c>
      <c r="D36" s="3" t="s">
        <v>181</v>
      </c>
      <c r="E36" s="3" t="s">
        <v>165</v>
      </c>
      <c r="K36" s="21"/>
    </row>
    <row r="37">
      <c r="A37" s="3" t="s">
        <v>81</v>
      </c>
      <c r="B37" s="3" t="s">
        <v>227</v>
      </c>
      <c r="C37" s="3" t="s">
        <v>218</v>
      </c>
      <c r="D37" s="3" t="s">
        <v>184</v>
      </c>
      <c r="E37" s="3" t="s">
        <v>165</v>
      </c>
      <c r="K37" s="21"/>
    </row>
    <row r="38">
      <c r="A38" s="3" t="s">
        <v>85</v>
      </c>
      <c r="B38" s="3" t="s">
        <v>228</v>
      </c>
      <c r="C38" s="3" t="s">
        <v>169</v>
      </c>
      <c r="D38" s="3" t="s">
        <v>184</v>
      </c>
      <c r="E38" s="3" t="s">
        <v>165</v>
      </c>
      <c r="K38" s="22"/>
    </row>
    <row r="39">
      <c r="A39" s="3" t="s">
        <v>87</v>
      </c>
      <c r="B39" s="3" t="s">
        <v>229</v>
      </c>
      <c r="C39" s="3" t="s">
        <v>173</v>
      </c>
      <c r="D39" s="3" t="s">
        <v>230</v>
      </c>
      <c r="E39" s="3" t="s">
        <v>165</v>
      </c>
      <c r="K39" s="21"/>
    </row>
    <row r="40">
      <c r="A40" s="3" t="s">
        <v>88</v>
      </c>
      <c r="B40" s="3" t="s">
        <v>231</v>
      </c>
      <c r="C40" s="3" t="s">
        <v>171</v>
      </c>
      <c r="D40" s="3" t="s">
        <v>164</v>
      </c>
      <c r="E40" s="3" t="s">
        <v>165</v>
      </c>
      <c r="K40" s="22"/>
    </row>
    <row r="41">
      <c r="A41" s="3" t="s">
        <v>90</v>
      </c>
      <c r="B41" s="3" t="s">
        <v>232</v>
      </c>
      <c r="C41" s="3" t="s">
        <v>171</v>
      </c>
      <c r="D41" s="3" t="s">
        <v>164</v>
      </c>
      <c r="E41" s="3" t="s">
        <v>165</v>
      </c>
      <c r="K41" s="21"/>
    </row>
    <row r="42">
      <c r="A42" s="3" t="s">
        <v>92</v>
      </c>
      <c r="B42" s="3" t="s">
        <v>233</v>
      </c>
      <c r="C42" s="3" t="s">
        <v>169</v>
      </c>
      <c r="D42" s="3" t="s">
        <v>194</v>
      </c>
      <c r="E42" s="3" t="s">
        <v>165</v>
      </c>
    </row>
    <row r="43">
      <c r="A43" s="3" t="s">
        <v>93</v>
      </c>
      <c r="B43" s="3" t="s">
        <v>234</v>
      </c>
      <c r="C43" s="3" t="s">
        <v>171</v>
      </c>
      <c r="D43" s="3" t="s">
        <v>235</v>
      </c>
      <c r="E43" s="3" t="s">
        <v>165</v>
      </c>
    </row>
    <row r="44">
      <c r="A44" s="3" t="s">
        <v>94</v>
      </c>
      <c r="B44" s="3" t="s">
        <v>236</v>
      </c>
      <c r="C44" s="3" t="s">
        <v>169</v>
      </c>
      <c r="D44" s="3" t="s">
        <v>181</v>
      </c>
      <c r="E44" s="3" t="s">
        <v>165</v>
      </c>
    </row>
    <row r="45">
      <c r="A45" s="3" t="s">
        <v>95</v>
      </c>
      <c r="B45" s="3" t="s">
        <v>237</v>
      </c>
      <c r="C45" s="3" t="s">
        <v>203</v>
      </c>
      <c r="D45" s="3" t="s">
        <v>194</v>
      </c>
      <c r="E45" s="3" t="s">
        <v>165</v>
      </c>
    </row>
    <row r="46">
      <c r="A46" s="3" t="s">
        <v>97</v>
      </c>
      <c r="B46" s="3" t="s">
        <v>238</v>
      </c>
      <c r="C46" s="3" t="s">
        <v>171</v>
      </c>
      <c r="D46" s="3" t="s">
        <v>181</v>
      </c>
      <c r="E46" s="3" t="s">
        <v>165</v>
      </c>
    </row>
    <row r="47">
      <c r="A47" s="3" t="s">
        <v>98</v>
      </c>
      <c r="B47" s="3" t="s">
        <v>239</v>
      </c>
      <c r="C47" s="3" t="s">
        <v>169</v>
      </c>
      <c r="D47" s="3" t="s">
        <v>164</v>
      </c>
      <c r="E47" s="3" t="s">
        <v>165</v>
      </c>
    </row>
    <row r="48">
      <c r="A48" s="4" t="s">
        <v>100</v>
      </c>
      <c r="B48" s="6" t="s">
        <v>226</v>
      </c>
      <c r="C48" s="3" t="s">
        <v>171</v>
      </c>
      <c r="D48" s="3" t="s">
        <v>181</v>
      </c>
      <c r="E48" s="3" t="s">
        <v>165</v>
      </c>
    </row>
    <row r="49">
      <c r="A49" s="7" t="s">
        <v>101</v>
      </c>
      <c r="B49" s="6" t="s">
        <v>240</v>
      </c>
      <c r="C49" s="3" t="s">
        <v>211</v>
      </c>
      <c r="D49" s="3" t="s">
        <v>194</v>
      </c>
      <c r="E49" s="3" t="s">
        <v>165</v>
      </c>
    </row>
    <row r="50">
      <c r="A50" s="7" t="s">
        <v>102</v>
      </c>
      <c r="B50" s="6" t="s">
        <v>241</v>
      </c>
      <c r="C50" s="3" t="s">
        <v>171</v>
      </c>
      <c r="D50" s="3" t="s">
        <v>164</v>
      </c>
      <c r="E50" s="3" t="s">
        <v>165</v>
      </c>
    </row>
    <row r="51">
      <c r="A51" s="7" t="s">
        <v>104</v>
      </c>
      <c r="B51" s="6" t="s">
        <v>242</v>
      </c>
      <c r="C51" s="3" t="s">
        <v>171</v>
      </c>
      <c r="D51" s="3" t="s">
        <v>243</v>
      </c>
      <c r="E51" s="3" t="s">
        <v>165</v>
      </c>
    </row>
    <row r="52">
      <c r="A52" s="7" t="s">
        <v>105</v>
      </c>
      <c r="B52" s="6" t="s">
        <v>244</v>
      </c>
      <c r="C52" s="3" t="s">
        <v>163</v>
      </c>
      <c r="D52" s="3" t="s">
        <v>245</v>
      </c>
      <c r="E52" s="3" t="s">
        <v>165</v>
      </c>
    </row>
    <row r="53">
      <c r="A53" s="7" t="s">
        <v>107</v>
      </c>
      <c r="B53" s="4" t="s">
        <v>246</v>
      </c>
      <c r="C53" s="3" t="s">
        <v>171</v>
      </c>
      <c r="D53" s="3" t="s">
        <v>174</v>
      </c>
      <c r="E53" s="3" t="s">
        <v>165</v>
      </c>
    </row>
    <row r="54">
      <c r="A54" s="7" t="s">
        <v>108</v>
      </c>
      <c r="B54" s="4" t="s">
        <v>247</v>
      </c>
      <c r="C54" s="3" t="s">
        <v>163</v>
      </c>
      <c r="D54" s="3" t="s">
        <v>248</v>
      </c>
      <c r="E54" s="3" t="s">
        <v>165</v>
      </c>
    </row>
    <row r="55">
      <c r="A55" s="7" t="s">
        <v>111</v>
      </c>
      <c r="B55" s="4" t="s">
        <v>249</v>
      </c>
      <c r="C55" s="3" t="s">
        <v>173</v>
      </c>
      <c r="D55" s="3" t="s">
        <v>174</v>
      </c>
      <c r="E55" s="3" t="s">
        <v>165</v>
      </c>
    </row>
    <row r="56">
      <c r="A56" s="7" t="s">
        <v>112</v>
      </c>
      <c r="B56" s="4" t="s">
        <v>250</v>
      </c>
      <c r="C56" s="3" t="s">
        <v>171</v>
      </c>
      <c r="D56" s="3" t="s">
        <v>181</v>
      </c>
      <c r="E56" s="3" t="s">
        <v>165</v>
      </c>
    </row>
    <row r="57">
      <c r="A57" s="7" t="s">
        <v>113</v>
      </c>
      <c r="B57" s="4" t="s">
        <v>251</v>
      </c>
      <c r="C57" s="3" t="s">
        <v>173</v>
      </c>
      <c r="D57" s="3" t="s">
        <v>181</v>
      </c>
      <c r="E57" s="3" t="s">
        <v>165</v>
      </c>
    </row>
    <row r="58">
      <c r="B58" s="6"/>
    </row>
    <row r="59">
      <c r="B59" s="6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</sheetData>
  <autoFilter ref="$F$3:$H$8">
    <sortState ref="F3:H8">
      <sortCondition descending="1" ref="H3:H8"/>
    </sortState>
  </autoFilter>
  <mergeCells count="1">
    <mergeCell ref="F3:G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0"/>
  </cols>
  <sheetData>
    <row r="1">
      <c r="A1" s="1" t="s">
        <v>0</v>
      </c>
      <c r="B1" s="24" t="s">
        <v>268</v>
      </c>
      <c r="C1" s="3" t="s">
        <v>269</v>
      </c>
      <c r="G1" s="3" t="s">
        <v>270</v>
      </c>
      <c r="H1" s="3" t="s">
        <v>133</v>
      </c>
      <c r="I1" s="3" t="s">
        <v>144</v>
      </c>
      <c r="J1" s="3" t="s">
        <v>114</v>
      </c>
    </row>
    <row r="2">
      <c r="A2" s="3" t="s">
        <v>5</v>
      </c>
      <c r="B2" s="4" t="s">
        <v>271</v>
      </c>
      <c r="C2" s="3" t="s">
        <v>272</v>
      </c>
      <c r="G2" s="3" t="s">
        <v>272</v>
      </c>
      <c r="H2" s="17">
        <f t="shared" ref="H2:H7" si="1">COUNTIF($C$2:$D$56, $G2)</f>
        <v>16</v>
      </c>
      <c r="I2" s="16">
        <f t="shared" ref="I2:I7" si="2">H2/$J$2</f>
        <v>0.275862069</v>
      </c>
      <c r="J2" s="17">
        <f>SUM(H2:H7)</f>
        <v>58</v>
      </c>
    </row>
    <row r="3">
      <c r="A3" s="3" t="s">
        <v>9</v>
      </c>
      <c r="B3" s="4" t="s">
        <v>273</v>
      </c>
      <c r="C3" s="3" t="s">
        <v>274</v>
      </c>
      <c r="G3" s="3" t="s">
        <v>275</v>
      </c>
      <c r="H3" s="17">
        <f t="shared" si="1"/>
        <v>12</v>
      </c>
      <c r="I3" s="16">
        <f t="shared" si="2"/>
        <v>0.2068965517</v>
      </c>
    </row>
    <row r="4">
      <c r="A4" s="3" t="s">
        <v>15</v>
      </c>
      <c r="B4" s="4" t="s">
        <v>273</v>
      </c>
      <c r="C4" s="3" t="s">
        <v>274</v>
      </c>
      <c r="G4" s="3" t="s">
        <v>274</v>
      </c>
      <c r="H4" s="17">
        <f t="shared" si="1"/>
        <v>11</v>
      </c>
      <c r="I4" s="16">
        <f t="shared" si="2"/>
        <v>0.1896551724</v>
      </c>
    </row>
    <row r="5">
      <c r="A5" s="3" t="s">
        <v>17</v>
      </c>
      <c r="B5" s="4" t="s">
        <v>276</v>
      </c>
      <c r="C5" s="3" t="s">
        <v>277</v>
      </c>
      <c r="G5" s="3" t="s">
        <v>278</v>
      </c>
      <c r="H5" s="17">
        <f t="shared" si="1"/>
        <v>9</v>
      </c>
      <c r="I5" s="16">
        <f t="shared" si="2"/>
        <v>0.1551724138</v>
      </c>
    </row>
    <row r="6">
      <c r="A6" s="3" t="s">
        <v>19</v>
      </c>
      <c r="B6" s="4" t="s">
        <v>271</v>
      </c>
      <c r="C6" s="3" t="s">
        <v>272</v>
      </c>
      <c r="G6" s="3" t="s">
        <v>277</v>
      </c>
      <c r="H6" s="17">
        <f t="shared" si="1"/>
        <v>7</v>
      </c>
      <c r="I6" s="16">
        <f t="shared" si="2"/>
        <v>0.1206896552</v>
      </c>
    </row>
    <row r="7">
      <c r="A7" s="3" t="s">
        <v>21</v>
      </c>
      <c r="B7" s="4" t="s">
        <v>279</v>
      </c>
      <c r="C7" s="3" t="s">
        <v>278</v>
      </c>
      <c r="G7" s="3" t="s">
        <v>280</v>
      </c>
      <c r="H7" s="17">
        <f t="shared" si="1"/>
        <v>3</v>
      </c>
      <c r="I7" s="16">
        <f t="shared" si="2"/>
        <v>0.05172413793</v>
      </c>
    </row>
    <row r="8">
      <c r="A8" s="3" t="s">
        <v>26</v>
      </c>
      <c r="B8" s="4" t="s">
        <v>271</v>
      </c>
      <c r="C8" s="3" t="s">
        <v>272</v>
      </c>
    </row>
    <row r="9">
      <c r="A9" s="3" t="s">
        <v>28</v>
      </c>
      <c r="B9" s="4" t="s">
        <v>279</v>
      </c>
      <c r="C9" s="3" t="s">
        <v>278</v>
      </c>
    </row>
    <row r="10">
      <c r="A10" s="3" t="s">
        <v>30</v>
      </c>
      <c r="B10" s="4" t="s">
        <v>273</v>
      </c>
      <c r="C10" s="3" t="s">
        <v>274</v>
      </c>
    </row>
    <row r="11">
      <c r="A11" s="3" t="s">
        <v>32</v>
      </c>
      <c r="B11" s="4" t="s">
        <v>281</v>
      </c>
      <c r="C11" s="3" t="s">
        <v>275</v>
      </c>
    </row>
    <row r="12">
      <c r="A12" s="3" t="s">
        <v>34</v>
      </c>
      <c r="B12" s="4" t="s">
        <v>279</v>
      </c>
      <c r="C12" s="3" t="s">
        <v>278</v>
      </c>
    </row>
    <row r="13">
      <c r="A13" s="3" t="s">
        <v>36</v>
      </c>
      <c r="B13" s="4" t="s">
        <v>271</v>
      </c>
      <c r="C13" s="3" t="s">
        <v>272</v>
      </c>
    </row>
    <row r="14">
      <c r="A14" s="3" t="s">
        <v>38</v>
      </c>
      <c r="B14" s="4" t="s">
        <v>273</v>
      </c>
      <c r="C14" s="3" t="s">
        <v>274</v>
      </c>
    </row>
    <row r="15">
      <c r="A15" s="3" t="s">
        <v>40</v>
      </c>
      <c r="B15" s="4" t="s">
        <v>273</v>
      </c>
      <c r="C15" s="3" t="s">
        <v>274</v>
      </c>
    </row>
    <row r="16">
      <c r="A16" s="3" t="s">
        <v>43</v>
      </c>
      <c r="B16" s="4" t="s">
        <v>279</v>
      </c>
      <c r="C16" s="3" t="s">
        <v>278</v>
      </c>
    </row>
    <row r="17">
      <c r="A17" s="3" t="s">
        <v>45</v>
      </c>
      <c r="B17" s="4" t="s">
        <v>271</v>
      </c>
      <c r="C17" s="3" t="s">
        <v>272</v>
      </c>
    </row>
    <row r="18">
      <c r="A18" s="3" t="s">
        <v>47</v>
      </c>
      <c r="B18" s="4" t="s">
        <v>281</v>
      </c>
      <c r="C18" s="3" t="s">
        <v>275</v>
      </c>
    </row>
    <row r="19">
      <c r="A19" s="3" t="s">
        <v>51</v>
      </c>
      <c r="B19" s="4" t="s">
        <v>273</v>
      </c>
      <c r="C19" s="3" t="s">
        <v>274</v>
      </c>
    </row>
    <row r="20">
      <c r="A20" s="3" t="s">
        <v>53</v>
      </c>
      <c r="B20" s="4" t="s">
        <v>273</v>
      </c>
      <c r="C20" s="3" t="s">
        <v>274</v>
      </c>
    </row>
    <row r="21">
      <c r="A21" s="3" t="s">
        <v>54</v>
      </c>
      <c r="B21" s="4" t="s">
        <v>271</v>
      </c>
      <c r="C21" s="3" t="s">
        <v>272</v>
      </c>
    </row>
    <row r="22">
      <c r="A22" s="3" t="s">
        <v>55</v>
      </c>
      <c r="B22" s="4" t="s">
        <v>281</v>
      </c>
      <c r="C22" s="3" t="s">
        <v>275</v>
      </c>
    </row>
    <row r="23">
      <c r="A23" s="3" t="s">
        <v>56</v>
      </c>
      <c r="B23" s="4" t="s">
        <v>271</v>
      </c>
      <c r="C23" s="3" t="s">
        <v>272</v>
      </c>
    </row>
    <row r="24">
      <c r="A24" s="3" t="s">
        <v>58</v>
      </c>
      <c r="B24" s="4" t="s">
        <v>271</v>
      </c>
      <c r="C24" s="3" t="s">
        <v>272</v>
      </c>
    </row>
    <row r="25">
      <c r="A25" s="3" t="s">
        <v>60</v>
      </c>
      <c r="B25" s="4" t="s">
        <v>280</v>
      </c>
      <c r="C25" s="3" t="s">
        <v>280</v>
      </c>
    </row>
    <row r="26">
      <c r="A26" s="3" t="s">
        <v>62</v>
      </c>
      <c r="B26" s="4" t="s">
        <v>276</v>
      </c>
      <c r="C26" s="3" t="s">
        <v>277</v>
      </c>
    </row>
    <row r="27">
      <c r="A27" s="3" t="s">
        <v>64</v>
      </c>
      <c r="B27" s="4" t="s">
        <v>281</v>
      </c>
      <c r="C27" s="3" t="s">
        <v>275</v>
      </c>
    </row>
    <row r="28">
      <c r="A28" s="3" t="s">
        <v>66</v>
      </c>
      <c r="B28" s="4" t="s">
        <v>282</v>
      </c>
      <c r="C28" s="3" t="s">
        <v>277</v>
      </c>
    </row>
    <row r="29">
      <c r="A29" s="3" t="s">
        <v>68</v>
      </c>
      <c r="B29" s="4" t="s">
        <v>271</v>
      </c>
      <c r="C29" s="3" t="s">
        <v>272</v>
      </c>
    </row>
    <row r="30">
      <c r="A30" s="3" t="s">
        <v>70</v>
      </c>
      <c r="B30" s="4" t="s">
        <v>283</v>
      </c>
      <c r="C30" s="3" t="s">
        <v>275</v>
      </c>
      <c r="D30" s="3" t="s">
        <v>280</v>
      </c>
    </row>
    <row r="31">
      <c r="A31" s="3" t="s">
        <v>71</v>
      </c>
      <c r="B31" s="4" t="s">
        <v>284</v>
      </c>
      <c r="C31" s="3" t="s">
        <v>277</v>
      </c>
    </row>
    <row r="32">
      <c r="A32" s="3" t="s">
        <v>72</v>
      </c>
      <c r="B32" s="4" t="s">
        <v>281</v>
      </c>
      <c r="C32" s="3" t="s">
        <v>275</v>
      </c>
    </row>
    <row r="33">
      <c r="A33" s="3" t="s">
        <v>76</v>
      </c>
      <c r="B33" s="4" t="s">
        <v>281</v>
      </c>
      <c r="C33" s="3" t="s">
        <v>275</v>
      </c>
    </row>
    <row r="34">
      <c r="A34" s="3" t="s">
        <v>78</v>
      </c>
      <c r="B34" s="4" t="s">
        <v>285</v>
      </c>
      <c r="C34" s="3" t="s">
        <v>275</v>
      </c>
    </row>
    <row r="35">
      <c r="A35" s="3" t="s">
        <v>79</v>
      </c>
      <c r="B35" s="4" t="s">
        <v>286</v>
      </c>
      <c r="C35" s="3" t="s">
        <v>277</v>
      </c>
    </row>
    <row r="36">
      <c r="A36" s="3" t="s">
        <v>81</v>
      </c>
      <c r="B36" s="4" t="s">
        <v>271</v>
      </c>
      <c r="C36" s="3" t="s">
        <v>272</v>
      </c>
    </row>
    <row r="37">
      <c r="A37" s="3" t="s">
        <v>85</v>
      </c>
      <c r="B37" s="4" t="s">
        <v>287</v>
      </c>
      <c r="C37" s="3" t="s">
        <v>278</v>
      </c>
    </row>
    <row r="38">
      <c r="A38" s="3" t="s">
        <v>87</v>
      </c>
      <c r="B38" s="4" t="s">
        <v>280</v>
      </c>
      <c r="C38" s="3" t="s">
        <v>280</v>
      </c>
    </row>
    <row r="39">
      <c r="A39" s="3" t="s">
        <v>88</v>
      </c>
      <c r="B39" s="4" t="s">
        <v>273</v>
      </c>
      <c r="C39" s="3" t="s">
        <v>274</v>
      </c>
    </row>
    <row r="40">
      <c r="A40" s="3" t="s">
        <v>90</v>
      </c>
      <c r="B40" s="4" t="s">
        <v>288</v>
      </c>
      <c r="C40" s="3" t="s">
        <v>278</v>
      </c>
    </row>
    <row r="41">
      <c r="A41" s="3" t="s">
        <v>92</v>
      </c>
      <c r="B41" s="4" t="s">
        <v>289</v>
      </c>
      <c r="C41" s="3" t="s">
        <v>278</v>
      </c>
      <c r="D41" s="3" t="s">
        <v>275</v>
      </c>
    </row>
    <row r="42">
      <c r="A42" s="3" t="s">
        <v>93</v>
      </c>
      <c r="B42" s="4" t="s">
        <v>281</v>
      </c>
      <c r="C42" s="3" t="s">
        <v>275</v>
      </c>
    </row>
    <row r="43">
      <c r="A43" s="3" t="s">
        <v>94</v>
      </c>
      <c r="B43" s="4" t="s">
        <v>290</v>
      </c>
      <c r="C43" s="3" t="s">
        <v>278</v>
      </c>
    </row>
    <row r="44">
      <c r="A44" s="3" t="s">
        <v>95</v>
      </c>
      <c r="B44" s="4" t="s">
        <v>286</v>
      </c>
      <c r="C44" s="3" t="s">
        <v>277</v>
      </c>
    </row>
    <row r="45">
      <c r="A45" s="3" t="s">
        <v>97</v>
      </c>
      <c r="B45" s="4" t="s">
        <v>291</v>
      </c>
      <c r="C45" s="3" t="s">
        <v>275</v>
      </c>
    </row>
    <row r="46">
      <c r="A46" s="3" t="s">
        <v>98</v>
      </c>
      <c r="B46" s="4" t="s">
        <v>290</v>
      </c>
      <c r="C46" s="3" t="s">
        <v>278</v>
      </c>
    </row>
    <row r="47">
      <c r="A47" s="4" t="s">
        <v>100</v>
      </c>
      <c r="B47" s="4" t="s">
        <v>271</v>
      </c>
      <c r="C47" s="3" t="s">
        <v>272</v>
      </c>
    </row>
    <row r="48">
      <c r="A48" s="7" t="s">
        <v>101</v>
      </c>
      <c r="B48" s="4" t="s">
        <v>271</v>
      </c>
      <c r="C48" s="3" t="s">
        <v>272</v>
      </c>
    </row>
    <row r="49">
      <c r="A49" s="7" t="s">
        <v>102</v>
      </c>
      <c r="B49" s="4" t="s">
        <v>292</v>
      </c>
      <c r="C49" s="3" t="s">
        <v>272</v>
      </c>
      <c r="D49" s="3" t="s">
        <v>277</v>
      </c>
    </row>
    <row r="50">
      <c r="A50" s="7" t="s">
        <v>104</v>
      </c>
      <c r="B50" s="4" t="s">
        <v>271</v>
      </c>
      <c r="C50" s="3" t="s">
        <v>272</v>
      </c>
    </row>
    <row r="51">
      <c r="A51" s="7" t="s">
        <v>105</v>
      </c>
      <c r="B51" s="4" t="s">
        <v>273</v>
      </c>
      <c r="C51" s="3" t="s">
        <v>274</v>
      </c>
    </row>
    <row r="52">
      <c r="A52" s="7" t="s">
        <v>107</v>
      </c>
      <c r="B52" s="4" t="s">
        <v>271</v>
      </c>
      <c r="C52" s="3" t="s">
        <v>272</v>
      </c>
    </row>
    <row r="53">
      <c r="A53" s="7" t="s">
        <v>108</v>
      </c>
      <c r="B53" s="4" t="s">
        <v>271</v>
      </c>
      <c r="C53" s="3" t="s">
        <v>272</v>
      </c>
    </row>
    <row r="54">
      <c r="A54" s="7" t="s">
        <v>111</v>
      </c>
      <c r="B54" s="4" t="s">
        <v>273</v>
      </c>
      <c r="C54" s="3" t="s">
        <v>274</v>
      </c>
    </row>
    <row r="55">
      <c r="A55" s="7" t="s">
        <v>112</v>
      </c>
      <c r="B55" s="4" t="s">
        <v>281</v>
      </c>
      <c r="C55" s="3" t="s">
        <v>275</v>
      </c>
    </row>
    <row r="56">
      <c r="A56" s="7" t="s">
        <v>113</v>
      </c>
      <c r="B56" s="4" t="s">
        <v>273</v>
      </c>
      <c r="C56" s="3" t="s">
        <v>274</v>
      </c>
    </row>
  </sheetData>
  <autoFilter ref="$A$1:$C$56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25"/>
  </cols>
  <sheetData>
    <row r="1">
      <c r="A1" s="1" t="s">
        <v>0</v>
      </c>
      <c r="B1" s="24" t="s">
        <v>293</v>
      </c>
    </row>
    <row r="2">
      <c r="A2" s="3" t="s">
        <v>5</v>
      </c>
      <c r="B2" s="4" t="s">
        <v>294</v>
      </c>
      <c r="C2" s="3" t="s">
        <v>295</v>
      </c>
    </row>
    <row r="3">
      <c r="A3" s="3" t="s">
        <v>9</v>
      </c>
      <c r="B3" s="4" t="s">
        <v>296</v>
      </c>
      <c r="C3" s="3" t="s">
        <v>295</v>
      </c>
      <c r="G3" s="3" t="s">
        <v>297</v>
      </c>
      <c r="H3" s="3" t="s">
        <v>133</v>
      </c>
    </row>
    <row r="4">
      <c r="A4" s="3" t="s">
        <v>15</v>
      </c>
      <c r="B4" s="4" t="s">
        <v>298</v>
      </c>
      <c r="C4" s="3" t="s">
        <v>299</v>
      </c>
      <c r="F4" s="3" t="s">
        <v>300</v>
      </c>
      <c r="G4" s="3" t="s">
        <v>299</v>
      </c>
      <c r="H4" s="17">
        <f t="shared" ref="H4:H8" si="1">COUNTIF($C$2:$E$56, $G4)</f>
        <v>21</v>
      </c>
      <c r="S4" s="3" t="s">
        <v>301</v>
      </c>
    </row>
    <row r="5">
      <c r="A5" s="3" t="s">
        <v>17</v>
      </c>
      <c r="B5" s="4" t="s">
        <v>298</v>
      </c>
      <c r="C5" s="3" t="s">
        <v>299</v>
      </c>
      <c r="F5" s="3" t="s">
        <v>302</v>
      </c>
      <c r="G5" s="3" t="s">
        <v>295</v>
      </c>
      <c r="H5" s="17">
        <f t="shared" si="1"/>
        <v>18</v>
      </c>
    </row>
    <row r="6">
      <c r="A6" s="3" t="s">
        <v>19</v>
      </c>
      <c r="B6" s="4" t="s">
        <v>298</v>
      </c>
      <c r="C6" s="3" t="s">
        <v>299</v>
      </c>
      <c r="F6" s="3" t="s">
        <v>274</v>
      </c>
      <c r="G6" s="3" t="s">
        <v>274</v>
      </c>
      <c r="H6" s="17">
        <f t="shared" si="1"/>
        <v>7</v>
      </c>
    </row>
    <row r="7">
      <c r="A7" s="3" t="s">
        <v>21</v>
      </c>
      <c r="B7" s="4" t="s">
        <v>294</v>
      </c>
      <c r="C7" s="3" t="s">
        <v>295</v>
      </c>
      <c r="F7" s="3" t="s">
        <v>303</v>
      </c>
      <c r="G7" s="3" t="s">
        <v>304</v>
      </c>
      <c r="H7" s="17">
        <f t="shared" si="1"/>
        <v>6</v>
      </c>
    </row>
    <row r="8">
      <c r="A8" s="3" t="s">
        <v>26</v>
      </c>
      <c r="B8" s="4" t="s">
        <v>298</v>
      </c>
      <c r="C8" s="3" t="s">
        <v>299</v>
      </c>
      <c r="F8" s="3" t="s">
        <v>305</v>
      </c>
      <c r="G8" s="3" t="s">
        <v>306</v>
      </c>
      <c r="H8" s="17">
        <f t="shared" si="1"/>
        <v>5</v>
      </c>
    </row>
    <row r="9">
      <c r="A9" s="3" t="s">
        <v>28</v>
      </c>
      <c r="B9" s="4" t="s">
        <v>307</v>
      </c>
      <c r="C9" s="3" t="s">
        <v>304</v>
      </c>
    </row>
    <row r="10">
      <c r="A10" s="3" t="s">
        <v>30</v>
      </c>
      <c r="B10" s="4" t="s">
        <v>294</v>
      </c>
      <c r="C10" s="3" t="s">
        <v>295</v>
      </c>
    </row>
    <row r="11">
      <c r="A11" s="3" t="s">
        <v>32</v>
      </c>
      <c r="B11" s="4" t="s">
        <v>273</v>
      </c>
      <c r="C11" s="3" t="s">
        <v>274</v>
      </c>
    </row>
    <row r="12">
      <c r="A12" s="3" t="s">
        <v>34</v>
      </c>
      <c r="B12" s="4" t="s">
        <v>301</v>
      </c>
      <c r="C12" s="3" t="s">
        <v>295</v>
      </c>
    </row>
    <row r="13">
      <c r="A13" s="3" t="s">
        <v>36</v>
      </c>
      <c r="B13" s="4" t="s">
        <v>308</v>
      </c>
      <c r="C13" s="3" t="s">
        <v>295</v>
      </c>
    </row>
    <row r="14">
      <c r="A14" s="3" t="s">
        <v>38</v>
      </c>
      <c r="B14" s="4" t="s">
        <v>309</v>
      </c>
      <c r="C14" s="3" t="s">
        <v>304</v>
      </c>
    </row>
    <row r="15">
      <c r="A15" s="3" t="s">
        <v>40</v>
      </c>
      <c r="B15" s="4" t="s">
        <v>298</v>
      </c>
      <c r="C15" s="3" t="s">
        <v>299</v>
      </c>
    </row>
    <row r="16">
      <c r="A16" s="3" t="s">
        <v>43</v>
      </c>
      <c r="B16" s="4" t="s">
        <v>298</v>
      </c>
      <c r="C16" s="3" t="s">
        <v>299</v>
      </c>
    </row>
    <row r="17">
      <c r="A17" s="3" t="s">
        <v>45</v>
      </c>
      <c r="B17" s="4" t="s">
        <v>310</v>
      </c>
      <c r="C17" s="3" t="s">
        <v>306</v>
      </c>
    </row>
    <row r="18">
      <c r="A18" s="3" t="s">
        <v>47</v>
      </c>
      <c r="B18" s="4" t="s">
        <v>298</v>
      </c>
      <c r="C18" s="3" t="s">
        <v>299</v>
      </c>
    </row>
    <row r="19">
      <c r="A19" s="3" t="s">
        <v>51</v>
      </c>
      <c r="B19" s="4" t="s">
        <v>311</v>
      </c>
      <c r="C19" s="3" t="s">
        <v>299</v>
      </c>
    </row>
    <row r="20">
      <c r="A20" s="3" t="s">
        <v>53</v>
      </c>
      <c r="B20" s="4" t="s">
        <v>273</v>
      </c>
      <c r="C20" s="3" t="s">
        <v>274</v>
      </c>
    </row>
    <row r="21">
      <c r="A21" s="3" t="s">
        <v>54</v>
      </c>
      <c r="B21" s="4" t="s">
        <v>312</v>
      </c>
      <c r="C21" s="3" t="s">
        <v>304</v>
      </c>
    </row>
    <row r="22">
      <c r="A22" s="3" t="s">
        <v>55</v>
      </c>
      <c r="B22" s="4" t="s">
        <v>313</v>
      </c>
      <c r="C22" s="3" t="s">
        <v>306</v>
      </c>
    </row>
    <row r="23">
      <c r="A23" s="3" t="s">
        <v>56</v>
      </c>
      <c r="B23" s="4" t="s">
        <v>298</v>
      </c>
      <c r="C23" s="3" t="s">
        <v>299</v>
      </c>
    </row>
    <row r="24">
      <c r="A24" s="3" t="s">
        <v>58</v>
      </c>
      <c r="B24" s="4" t="s">
        <v>314</v>
      </c>
      <c r="C24" s="3" t="s">
        <v>304</v>
      </c>
    </row>
    <row r="25">
      <c r="A25" s="3" t="s">
        <v>60</v>
      </c>
      <c r="B25" s="4" t="s">
        <v>294</v>
      </c>
      <c r="C25" s="3" t="s">
        <v>295</v>
      </c>
    </row>
    <row r="26">
      <c r="A26" s="3" t="s">
        <v>62</v>
      </c>
      <c r="B26" s="4" t="s">
        <v>315</v>
      </c>
      <c r="C26" s="3" t="s">
        <v>306</v>
      </c>
    </row>
    <row r="27">
      <c r="A27" s="3" t="s">
        <v>64</v>
      </c>
      <c r="B27" s="4" t="s">
        <v>316</v>
      </c>
      <c r="C27" s="3" t="s">
        <v>295</v>
      </c>
    </row>
    <row r="28">
      <c r="A28" s="3" t="s">
        <v>66</v>
      </c>
      <c r="B28" s="4" t="s">
        <v>317</v>
      </c>
      <c r="C28" s="3" t="s">
        <v>299</v>
      </c>
      <c r="D28" s="3" t="s">
        <v>306</v>
      </c>
    </row>
    <row r="29">
      <c r="A29" s="3" t="s">
        <v>68</v>
      </c>
      <c r="B29" s="4" t="s">
        <v>318</v>
      </c>
      <c r="C29" s="3" t="s">
        <v>299</v>
      </c>
      <c r="D29" s="3" t="s">
        <v>319</v>
      </c>
    </row>
    <row r="30">
      <c r="A30" s="3" t="s">
        <v>70</v>
      </c>
      <c r="B30" s="4" t="s">
        <v>298</v>
      </c>
      <c r="C30" s="3" t="s">
        <v>299</v>
      </c>
    </row>
    <row r="31">
      <c r="A31" s="3" t="s">
        <v>71</v>
      </c>
      <c r="B31" s="4" t="s">
        <v>298</v>
      </c>
      <c r="C31" s="3" t="s">
        <v>299</v>
      </c>
    </row>
    <row r="32">
      <c r="A32" s="3" t="s">
        <v>72</v>
      </c>
      <c r="B32" s="4" t="s">
        <v>320</v>
      </c>
      <c r="C32" s="3" t="s">
        <v>295</v>
      </c>
    </row>
    <row r="33">
      <c r="A33" s="3" t="s">
        <v>76</v>
      </c>
      <c r="B33" s="4" t="s">
        <v>321</v>
      </c>
      <c r="C33" s="3" t="s">
        <v>295</v>
      </c>
      <c r="D33" s="3" t="s">
        <v>299</v>
      </c>
      <c r="E33" s="3" t="s">
        <v>319</v>
      </c>
    </row>
    <row r="34">
      <c r="A34" s="3" t="s">
        <v>78</v>
      </c>
      <c r="B34" s="4" t="s">
        <v>294</v>
      </c>
      <c r="C34" s="3" t="s">
        <v>295</v>
      </c>
    </row>
    <row r="35">
      <c r="A35" s="3" t="s">
        <v>79</v>
      </c>
      <c r="B35" s="4" t="s">
        <v>298</v>
      </c>
      <c r="C35" s="3" t="s">
        <v>299</v>
      </c>
    </row>
    <row r="36">
      <c r="A36" s="3" t="s">
        <v>81</v>
      </c>
      <c r="B36" s="4" t="s">
        <v>298</v>
      </c>
      <c r="C36" s="3" t="s">
        <v>299</v>
      </c>
    </row>
    <row r="37">
      <c r="A37" s="3" t="s">
        <v>85</v>
      </c>
      <c r="B37" s="4" t="s">
        <v>322</v>
      </c>
      <c r="C37" s="3" t="s">
        <v>304</v>
      </c>
    </row>
    <row r="38">
      <c r="A38" s="3" t="s">
        <v>87</v>
      </c>
      <c r="B38" s="4" t="s">
        <v>323</v>
      </c>
      <c r="C38" s="3" t="s">
        <v>295</v>
      </c>
    </row>
    <row r="39">
      <c r="A39" s="3" t="s">
        <v>88</v>
      </c>
      <c r="B39" s="4" t="s">
        <v>303</v>
      </c>
      <c r="C39" s="3" t="s">
        <v>304</v>
      </c>
    </row>
    <row r="40">
      <c r="A40" s="3" t="s">
        <v>90</v>
      </c>
      <c r="B40" s="4" t="s">
        <v>324</v>
      </c>
      <c r="C40" s="3" t="s">
        <v>306</v>
      </c>
    </row>
    <row r="41">
      <c r="A41" s="3" t="s">
        <v>92</v>
      </c>
      <c r="B41" s="4" t="s">
        <v>294</v>
      </c>
      <c r="C41" s="3" t="s">
        <v>295</v>
      </c>
    </row>
    <row r="42">
      <c r="A42" s="3" t="s">
        <v>93</v>
      </c>
      <c r="B42" s="4" t="s">
        <v>298</v>
      </c>
      <c r="C42" s="3" t="s">
        <v>299</v>
      </c>
    </row>
    <row r="43">
      <c r="A43" s="3" t="s">
        <v>94</v>
      </c>
      <c r="B43" s="4" t="s">
        <v>325</v>
      </c>
      <c r="C43" s="3" t="s">
        <v>295</v>
      </c>
    </row>
    <row r="44">
      <c r="A44" s="3" t="s">
        <v>95</v>
      </c>
      <c r="B44" s="4" t="s">
        <v>326</v>
      </c>
      <c r="C44" s="3" t="s">
        <v>295</v>
      </c>
      <c r="D44" s="3" t="s">
        <v>299</v>
      </c>
    </row>
    <row r="45">
      <c r="A45" s="3" t="s">
        <v>97</v>
      </c>
      <c r="B45" s="4" t="s">
        <v>327</v>
      </c>
      <c r="C45" s="3" t="s">
        <v>295</v>
      </c>
    </row>
    <row r="46">
      <c r="A46" s="3" t="s">
        <v>98</v>
      </c>
      <c r="B46" s="4" t="s">
        <v>328</v>
      </c>
      <c r="C46" s="3" t="s">
        <v>295</v>
      </c>
      <c r="D46" s="3" t="s">
        <v>319</v>
      </c>
    </row>
    <row r="47">
      <c r="A47" s="4" t="s">
        <v>100</v>
      </c>
      <c r="B47" s="4" t="s">
        <v>298</v>
      </c>
      <c r="C47" s="3" t="s">
        <v>299</v>
      </c>
    </row>
    <row r="48">
      <c r="A48" s="7" t="s">
        <v>101</v>
      </c>
      <c r="B48" s="4" t="s">
        <v>273</v>
      </c>
      <c r="C48" s="3" t="s">
        <v>274</v>
      </c>
    </row>
    <row r="49">
      <c r="A49" s="7" t="s">
        <v>102</v>
      </c>
      <c r="B49" s="4" t="s">
        <v>329</v>
      </c>
      <c r="C49" s="3" t="s">
        <v>319</v>
      </c>
    </row>
    <row r="50">
      <c r="A50" s="7" t="s">
        <v>104</v>
      </c>
      <c r="B50" s="4" t="s">
        <v>273</v>
      </c>
      <c r="C50" s="3" t="s">
        <v>274</v>
      </c>
    </row>
    <row r="51">
      <c r="A51" s="7" t="s">
        <v>105</v>
      </c>
      <c r="B51" s="4" t="s">
        <v>273</v>
      </c>
      <c r="C51" s="3" t="s">
        <v>274</v>
      </c>
    </row>
    <row r="52">
      <c r="A52" s="7" t="s">
        <v>107</v>
      </c>
      <c r="B52" s="4" t="s">
        <v>273</v>
      </c>
      <c r="C52" s="3" t="s">
        <v>274</v>
      </c>
    </row>
    <row r="53">
      <c r="A53" s="7" t="s">
        <v>108</v>
      </c>
      <c r="B53" s="4" t="s">
        <v>273</v>
      </c>
      <c r="C53" s="3" t="s">
        <v>274</v>
      </c>
    </row>
    <row r="54">
      <c r="A54" s="7" t="s">
        <v>111</v>
      </c>
      <c r="B54" s="4" t="s">
        <v>298</v>
      </c>
      <c r="C54" s="3" t="s">
        <v>299</v>
      </c>
    </row>
    <row r="55">
      <c r="A55" s="7" t="s">
        <v>112</v>
      </c>
      <c r="B55" s="4" t="s">
        <v>298</v>
      </c>
      <c r="C55" s="3" t="s">
        <v>299</v>
      </c>
    </row>
    <row r="56">
      <c r="A56" s="7" t="s">
        <v>113</v>
      </c>
      <c r="B56" s="4" t="s">
        <v>330</v>
      </c>
      <c r="C56" s="3" t="s">
        <v>295</v>
      </c>
    </row>
  </sheetData>
  <autoFilter ref="$A$1:$C$56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331</v>
      </c>
      <c r="H1" s="3" t="s">
        <v>332</v>
      </c>
      <c r="I1" s="3" t="s">
        <v>133</v>
      </c>
    </row>
    <row r="2">
      <c r="A2" s="3" t="s">
        <v>5</v>
      </c>
      <c r="B2" s="3" t="s">
        <v>273</v>
      </c>
      <c r="C2" s="3" t="s">
        <v>274</v>
      </c>
      <c r="H2" s="3" t="s">
        <v>333</v>
      </c>
      <c r="I2" s="17">
        <f t="shared" ref="I2:I7" si="1">COUNTIF($C$2:$D$56, $H2)</f>
        <v>45</v>
      </c>
      <c r="Q2" s="3" t="s">
        <v>334</v>
      </c>
    </row>
    <row r="3">
      <c r="A3" s="3" t="s">
        <v>9</v>
      </c>
      <c r="B3" s="3" t="s">
        <v>335</v>
      </c>
      <c r="C3" s="3" t="s">
        <v>333</v>
      </c>
      <c r="H3" s="3" t="s">
        <v>336</v>
      </c>
      <c r="I3" s="17">
        <f t="shared" si="1"/>
        <v>7</v>
      </c>
    </row>
    <row r="4">
      <c r="A4" s="3" t="s">
        <v>15</v>
      </c>
      <c r="B4" s="3" t="s">
        <v>324</v>
      </c>
      <c r="C4" s="3" t="s">
        <v>336</v>
      </c>
      <c r="H4" s="3" t="s">
        <v>303</v>
      </c>
      <c r="I4" s="17">
        <f t="shared" si="1"/>
        <v>4</v>
      </c>
    </row>
    <row r="5">
      <c r="A5" s="3" t="s">
        <v>17</v>
      </c>
      <c r="B5" s="3" t="s">
        <v>335</v>
      </c>
      <c r="C5" s="3" t="s">
        <v>333</v>
      </c>
      <c r="H5" s="3" t="s">
        <v>337</v>
      </c>
      <c r="I5" s="17">
        <f t="shared" si="1"/>
        <v>2</v>
      </c>
    </row>
    <row r="6">
      <c r="A6" s="3" t="s">
        <v>19</v>
      </c>
      <c r="B6" s="3" t="s">
        <v>335</v>
      </c>
      <c r="C6" s="3" t="s">
        <v>333</v>
      </c>
      <c r="H6" s="3" t="s">
        <v>274</v>
      </c>
      <c r="I6" s="17">
        <f t="shared" si="1"/>
        <v>2</v>
      </c>
    </row>
    <row r="7">
      <c r="A7" s="3" t="s">
        <v>21</v>
      </c>
      <c r="B7" s="3" t="s">
        <v>335</v>
      </c>
      <c r="C7" s="3" t="s">
        <v>333</v>
      </c>
      <c r="H7" s="3" t="s">
        <v>329</v>
      </c>
      <c r="I7" s="17">
        <f t="shared" si="1"/>
        <v>1</v>
      </c>
    </row>
    <row r="8">
      <c r="A8" s="3" t="s">
        <v>26</v>
      </c>
      <c r="B8" s="3" t="s">
        <v>335</v>
      </c>
      <c r="C8" s="3" t="s">
        <v>333</v>
      </c>
      <c r="Q8" s="3" t="s">
        <v>338</v>
      </c>
    </row>
    <row r="9">
      <c r="A9" s="3" t="s">
        <v>28</v>
      </c>
      <c r="B9" s="3" t="s">
        <v>335</v>
      </c>
      <c r="C9" s="3" t="s">
        <v>333</v>
      </c>
      <c r="K9" s="3" t="s">
        <v>329</v>
      </c>
    </row>
    <row r="10">
      <c r="A10" s="3" t="s">
        <v>30</v>
      </c>
      <c r="B10" s="3" t="s">
        <v>335</v>
      </c>
      <c r="C10" s="3" t="s">
        <v>333</v>
      </c>
    </row>
    <row r="11">
      <c r="A11" s="3" t="s">
        <v>32</v>
      </c>
      <c r="B11" s="3" t="s">
        <v>335</v>
      </c>
      <c r="C11" s="3" t="s">
        <v>333</v>
      </c>
    </row>
    <row r="12">
      <c r="A12" s="3" t="s">
        <v>34</v>
      </c>
      <c r="B12" s="3" t="s">
        <v>339</v>
      </c>
      <c r="C12" s="3" t="s">
        <v>333</v>
      </c>
    </row>
    <row r="13">
      <c r="A13" s="3" t="s">
        <v>36</v>
      </c>
      <c r="B13" s="3" t="s">
        <v>308</v>
      </c>
      <c r="C13" s="3" t="s">
        <v>333</v>
      </c>
    </row>
    <row r="14">
      <c r="A14" s="3" t="s">
        <v>38</v>
      </c>
      <c r="B14" s="3" t="s">
        <v>340</v>
      </c>
      <c r="C14" s="3" t="s">
        <v>303</v>
      </c>
    </row>
    <row r="15">
      <c r="A15" s="3" t="s">
        <v>40</v>
      </c>
      <c r="B15" s="3" t="s">
        <v>335</v>
      </c>
      <c r="C15" s="3" t="s">
        <v>333</v>
      </c>
    </row>
    <row r="16">
      <c r="A16" s="3" t="s">
        <v>43</v>
      </c>
      <c r="B16" s="3" t="s">
        <v>335</v>
      </c>
      <c r="C16" s="3" t="s">
        <v>333</v>
      </c>
    </row>
    <row r="17">
      <c r="A17" s="3" t="s">
        <v>45</v>
      </c>
      <c r="B17" s="3" t="s">
        <v>341</v>
      </c>
      <c r="C17" s="3" t="s">
        <v>333</v>
      </c>
      <c r="D17" s="3" t="s">
        <v>336</v>
      </c>
    </row>
    <row r="18">
      <c r="A18" s="3" t="s">
        <v>47</v>
      </c>
      <c r="B18" s="3" t="s">
        <v>342</v>
      </c>
      <c r="C18" s="3" t="s">
        <v>333</v>
      </c>
    </row>
    <row r="19">
      <c r="A19" s="3" t="s">
        <v>51</v>
      </c>
      <c r="B19" s="3" t="s">
        <v>343</v>
      </c>
      <c r="C19" s="3" t="s">
        <v>333</v>
      </c>
    </row>
    <row r="20">
      <c r="A20" s="3" t="s">
        <v>53</v>
      </c>
      <c r="B20" s="3" t="s">
        <v>335</v>
      </c>
      <c r="C20" s="3" t="s">
        <v>333</v>
      </c>
    </row>
    <row r="21">
      <c r="A21" s="3" t="s">
        <v>54</v>
      </c>
      <c r="B21" s="3" t="s">
        <v>335</v>
      </c>
      <c r="C21" s="3" t="s">
        <v>333</v>
      </c>
    </row>
    <row r="22">
      <c r="A22" s="3" t="s">
        <v>55</v>
      </c>
      <c r="B22" s="3" t="s">
        <v>344</v>
      </c>
      <c r="C22" s="3" t="s">
        <v>336</v>
      </c>
    </row>
    <row r="23">
      <c r="A23" s="3" t="s">
        <v>56</v>
      </c>
      <c r="B23" s="3" t="s">
        <v>335</v>
      </c>
      <c r="C23" s="3" t="s">
        <v>333</v>
      </c>
    </row>
    <row r="24">
      <c r="A24" s="3" t="s">
        <v>58</v>
      </c>
      <c r="B24" s="3" t="s">
        <v>335</v>
      </c>
      <c r="C24" s="3" t="s">
        <v>333</v>
      </c>
    </row>
    <row r="25">
      <c r="A25" s="3" t="s">
        <v>60</v>
      </c>
      <c r="B25" s="3" t="s">
        <v>343</v>
      </c>
      <c r="C25" s="3" t="s">
        <v>333</v>
      </c>
    </row>
    <row r="26">
      <c r="A26" s="3" t="s">
        <v>62</v>
      </c>
      <c r="B26" s="3" t="s">
        <v>345</v>
      </c>
      <c r="C26" s="3" t="s">
        <v>336</v>
      </c>
    </row>
    <row r="27">
      <c r="A27" s="3" t="s">
        <v>64</v>
      </c>
      <c r="B27" s="3" t="s">
        <v>335</v>
      </c>
      <c r="C27" s="3" t="s">
        <v>333</v>
      </c>
    </row>
    <row r="28">
      <c r="A28" s="3" t="s">
        <v>66</v>
      </c>
      <c r="B28" s="3" t="s">
        <v>346</v>
      </c>
      <c r="C28" s="3" t="s">
        <v>337</v>
      </c>
    </row>
    <row r="29">
      <c r="A29" s="3" t="s">
        <v>68</v>
      </c>
      <c r="B29" s="3" t="s">
        <v>347</v>
      </c>
      <c r="C29" s="3" t="s">
        <v>333</v>
      </c>
      <c r="D29" s="3" t="s">
        <v>303</v>
      </c>
    </row>
    <row r="30">
      <c r="A30" s="3" t="s">
        <v>70</v>
      </c>
      <c r="B30" s="3" t="s">
        <v>335</v>
      </c>
      <c r="C30" s="3" t="s">
        <v>333</v>
      </c>
    </row>
    <row r="31">
      <c r="A31" s="3" t="s">
        <v>71</v>
      </c>
      <c r="B31" s="3" t="s">
        <v>335</v>
      </c>
      <c r="C31" s="3" t="s">
        <v>333</v>
      </c>
    </row>
    <row r="32">
      <c r="A32" s="3" t="s">
        <v>72</v>
      </c>
      <c r="B32" s="3" t="s">
        <v>335</v>
      </c>
      <c r="C32" s="3" t="s">
        <v>333</v>
      </c>
    </row>
    <row r="33">
      <c r="A33" s="3" t="s">
        <v>76</v>
      </c>
      <c r="B33" s="3" t="s">
        <v>329</v>
      </c>
      <c r="C33" s="3" t="s">
        <v>329</v>
      </c>
    </row>
    <row r="34">
      <c r="A34" s="3" t="s">
        <v>78</v>
      </c>
      <c r="B34" s="3" t="s">
        <v>335</v>
      </c>
      <c r="C34" s="3" t="s">
        <v>333</v>
      </c>
    </row>
    <row r="35">
      <c r="A35" s="3" t="s">
        <v>79</v>
      </c>
      <c r="B35" s="3" t="s">
        <v>335</v>
      </c>
      <c r="C35" s="3" t="s">
        <v>333</v>
      </c>
    </row>
    <row r="36">
      <c r="A36" s="3" t="s">
        <v>81</v>
      </c>
      <c r="B36" s="3" t="s">
        <v>348</v>
      </c>
      <c r="C36" s="3" t="s">
        <v>333</v>
      </c>
      <c r="D36" s="3" t="s">
        <v>336</v>
      </c>
    </row>
    <row r="37">
      <c r="A37" s="3" t="s">
        <v>85</v>
      </c>
      <c r="B37" s="3" t="s">
        <v>303</v>
      </c>
      <c r="C37" s="3" t="s">
        <v>303</v>
      </c>
    </row>
    <row r="38">
      <c r="A38" s="3" t="s">
        <v>87</v>
      </c>
      <c r="B38" s="3" t="s">
        <v>335</v>
      </c>
      <c r="C38" s="3" t="s">
        <v>333</v>
      </c>
    </row>
    <row r="39">
      <c r="A39" s="3" t="s">
        <v>88</v>
      </c>
      <c r="B39" s="3" t="s">
        <v>335</v>
      </c>
      <c r="C39" s="3" t="s">
        <v>333</v>
      </c>
    </row>
    <row r="40">
      <c r="A40" s="3" t="s">
        <v>90</v>
      </c>
      <c r="B40" s="3" t="s">
        <v>335</v>
      </c>
      <c r="C40" s="3" t="s">
        <v>333</v>
      </c>
    </row>
    <row r="41">
      <c r="A41" s="3" t="s">
        <v>92</v>
      </c>
      <c r="B41" s="3" t="s">
        <v>349</v>
      </c>
      <c r="C41" s="3" t="s">
        <v>333</v>
      </c>
      <c r="D41" s="3" t="s">
        <v>337</v>
      </c>
    </row>
    <row r="42">
      <c r="A42" s="3" t="s">
        <v>93</v>
      </c>
      <c r="B42" s="3" t="s">
        <v>335</v>
      </c>
      <c r="C42" s="3" t="s">
        <v>333</v>
      </c>
    </row>
    <row r="43">
      <c r="A43" s="3" t="s">
        <v>94</v>
      </c>
      <c r="B43" s="3" t="s">
        <v>350</v>
      </c>
      <c r="C43" s="3" t="s">
        <v>333</v>
      </c>
      <c r="D43" s="3" t="s">
        <v>336</v>
      </c>
    </row>
    <row r="44">
      <c r="A44" s="3" t="s">
        <v>95</v>
      </c>
      <c r="B44" s="3" t="s">
        <v>335</v>
      </c>
      <c r="C44" s="3" t="s">
        <v>333</v>
      </c>
    </row>
    <row r="45">
      <c r="A45" s="3" t="s">
        <v>97</v>
      </c>
      <c r="B45" s="3" t="s">
        <v>335</v>
      </c>
      <c r="C45" s="3" t="s">
        <v>333</v>
      </c>
    </row>
    <row r="46">
      <c r="A46" s="3" t="s">
        <v>98</v>
      </c>
      <c r="B46" s="3" t="s">
        <v>335</v>
      </c>
      <c r="C46" s="3" t="s">
        <v>333</v>
      </c>
    </row>
    <row r="47">
      <c r="A47" s="4" t="s">
        <v>100</v>
      </c>
      <c r="B47" s="4" t="s">
        <v>335</v>
      </c>
      <c r="C47" s="3" t="s">
        <v>333</v>
      </c>
    </row>
    <row r="48">
      <c r="A48" s="7" t="s">
        <v>101</v>
      </c>
      <c r="B48" s="4" t="s">
        <v>273</v>
      </c>
      <c r="C48" s="3" t="s">
        <v>274</v>
      </c>
    </row>
    <row r="49">
      <c r="A49" s="7" t="s">
        <v>102</v>
      </c>
      <c r="B49" s="4" t="s">
        <v>303</v>
      </c>
      <c r="C49" s="3" t="s">
        <v>303</v>
      </c>
    </row>
    <row r="50">
      <c r="A50" s="7" t="s">
        <v>104</v>
      </c>
      <c r="B50" s="4" t="s">
        <v>335</v>
      </c>
      <c r="C50" s="3" t="s">
        <v>333</v>
      </c>
    </row>
    <row r="51">
      <c r="A51" s="7" t="s">
        <v>105</v>
      </c>
      <c r="B51" s="4" t="s">
        <v>335</v>
      </c>
      <c r="C51" s="3" t="s">
        <v>333</v>
      </c>
    </row>
    <row r="52">
      <c r="A52" s="7" t="s">
        <v>107</v>
      </c>
      <c r="B52" s="6" t="s">
        <v>351</v>
      </c>
      <c r="C52" s="3" t="s">
        <v>333</v>
      </c>
    </row>
    <row r="53">
      <c r="A53" s="7" t="s">
        <v>108</v>
      </c>
      <c r="B53" s="4" t="s">
        <v>335</v>
      </c>
      <c r="C53" s="3" t="s">
        <v>333</v>
      </c>
    </row>
    <row r="54">
      <c r="A54" s="7" t="s">
        <v>111</v>
      </c>
      <c r="B54" s="4" t="s">
        <v>335</v>
      </c>
      <c r="C54" s="3" t="s">
        <v>333</v>
      </c>
    </row>
    <row r="55">
      <c r="A55" s="7" t="s">
        <v>112</v>
      </c>
      <c r="B55" s="6" t="s">
        <v>352</v>
      </c>
      <c r="C55" s="3" t="s">
        <v>333</v>
      </c>
      <c r="D55" s="3" t="s">
        <v>336</v>
      </c>
    </row>
    <row r="56">
      <c r="A56" s="7" t="s">
        <v>113</v>
      </c>
      <c r="B56" s="4" t="s">
        <v>335</v>
      </c>
      <c r="C56" s="3" t="s">
        <v>333</v>
      </c>
    </row>
    <row r="58">
      <c r="A58" s="3" t="s">
        <v>5</v>
      </c>
      <c r="B58" s="3" t="s">
        <v>274</v>
      </c>
    </row>
    <row r="59">
      <c r="A59" s="3" t="s">
        <v>9</v>
      </c>
      <c r="B59" s="3" t="s">
        <v>333</v>
      </c>
    </row>
    <row r="60">
      <c r="A60" s="3" t="s">
        <v>15</v>
      </c>
      <c r="B60" s="3" t="s">
        <v>336</v>
      </c>
    </row>
    <row r="61">
      <c r="A61" s="3" t="s">
        <v>17</v>
      </c>
      <c r="B61" s="3" t="s">
        <v>333</v>
      </c>
    </row>
    <row r="62">
      <c r="A62" s="3" t="s">
        <v>19</v>
      </c>
      <c r="B62" s="3" t="s">
        <v>333</v>
      </c>
    </row>
    <row r="63">
      <c r="A63" s="3" t="s">
        <v>21</v>
      </c>
      <c r="B63" s="3" t="s">
        <v>333</v>
      </c>
    </row>
    <row r="64">
      <c r="A64" s="3" t="s">
        <v>26</v>
      </c>
      <c r="B64" s="3" t="s">
        <v>333</v>
      </c>
    </row>
    <row r="65">
      <c r="A65" s="3" t="s">
        <v>28</v>
      </c>
      <c r="B65" s="3" t="s">
        <v>333</v>
      </c>
    </row>
    <row r="66">
      <c r="A66" s="3" t="s">
        <v>30</v>
      </c>
      <c r="B66" s="3" t="s">
        <v>333</v>
      </c>
    </row>
    <row r="67">
      <c r="A67" s="3" t="s">
        <v>32</v>
      </c>
      <c r="B67" s="3" t="s">
        <v>333</v>
      </c>
    </row>
    <row r="68">
      <c r="A68" s="3" t="s">
        <v>34</v>
      </c>
      <c r="B68" s="3" t="s">
        <v>333</v>
      </c>
    </row>
    <row r="69">
      <c r="A69" s="3" t="s">
        <v>36</v>
      </c>
      <c r="B69" s="3" t="s">
        <v>333</v>
      </c>
    </row>
    <row r="70">
      <c r="A70" s="3" t="s">
        <v>38</v>
      </c>
      <c r="B70" s="3" t="s">
        <v>303</v>
      </c>
    </row>
    <row r="71">
      <c r="A71" s="3" t="s">
        <v>40</v>
      </c>
      <c r="B71" s="3" t="s">
        <v>333</v>
      </c>
    </row>
    <row r="72">
      <c r="A72" s="3" t="s">
        <v>43</v>
      </c>
      <c r="B72" s="3" t="s">
        <v>333</v>
      </c>
    </row>
    <row r="73">
      <c r="A73" s="3" t="s">
        <v>45</v>
      </c>
      <c r="B73" s="3" t="s">
        <v>333</v>
      </c>
      <c r="C73" s="3" t="s">
        <v>336</v>
      </c>
    </row>
    <row r="74">
      <c r="A74" s="3" t="s">
        <v>47</v>
      </c>
      <c r="B74" s="3" t="s">
        <v>333</v>
      </c>
    </row>
    <row r="75">
      <c r="A75" s="3" t="s">
        <v>51</v>
      </c>
      <c r="B75" s="3" t="s">
        <v>333</v>
      </c>
    </row>
    <row r="76">
      <c r="A76" s="3" t="s">
        <v>53</v>
      </c>
      <c r="B76" s="3" t="s">
        <v>333</v>
      </c>
    </row>
    <row r="77">
      <c r="A77" s="3" t="s">
        <v>54</v>
      </c>
      <c r="B77" s="3" t="s">
        <v>333</v>
      </c>
    </row>
    <row r="78">
      <c r="A78" s="3" t="s">
        <v>55</v>
      </c>
      <c r="B78" s="3" t="s">
        <v>336</v>
      </c>
    </row>
    <row r="79">
      <c r="A79" s="3" t="s">
        <v>56</v>
      </c>
      <c r="B79" s="3" t="s">
        <v>333</v>
      </c>
    </row>
    <row r="80">
      <c r="A80" s="3" t="s">
        <v>58</v>
      </c>
      <c r="B80" s="3" t="s">
        <v>333</v>
      </c>
    </row>
    <row r="81">
      <c r="A81" s="3" t="s">
        <v>60</v>
      </c>
      <c r="B81" s="3" t="s">
        <v>333</v>
      </c>
    </row>
    <row r="82">
      <c r="A82" s="3" t="s">
        <v>62</v>
      </c>
      <c r="B82" s="3" t="s">
        <v>336</v>
      </c>
    </row>
    <row r="83">
      <c r="A83" s="3" t="s">
        <v>64</v>
      </c>
      <c r="B83" s="3" t="s">
        <v>333</v>
      </c>
    </row>
    <row r="84">
      <c r="A84" s="3" t="s">
        <v>66</v>
      </c>
      <c r="B84" s="3" t="s">
        <v>337</v>
      </c>
    </row>
    <row r="85">
      <c r="A85" s="3" t="s">
        <v>68</v>
      </c>
      <c r="B85" s="3" t="s">
        <v>333</v>
      </c>
      <c r="C85" s="3" t="s">
        <v>303</v>
      </c>
    </row>
    <row r="86">
      <c r="A86" s="3" t="s">
        <v>70</v>
      </c>
      <c r="B86" s="3" t="s">
        <v>333</v>
      </c>
    </row>
    <row r="87">
      <c r="A87" s="3" t="s">
        <v>71</v>
      </c>
      <c r="B87" s="3" t="s">
        <v>333</v>
      </c>
    </row>
    <row r="88">
      <c r="A88" s="3" t="s">
        <v>72</v>
      </c>
      <c r="B88" s="3" t="s">
        <v>333</v>
      </c>
    </row>
    <row r="89">
      <c r="A89" s="3" t="s">
        <v>76</v>
      </c>
      <c r="B89" s="3" t="s">
        <v>329</v>
      </c>
    </row>
    <row r="90">
      <c r="A90" s="3" t="s">
        <v>78</v>
      </c>
      <c r="B90" s="3" t="s">
        <v>333</v>
      </c>
    </row>
    <row r="91">
      <c r="A91" s="3" t="s">
        <v>79</v>
      </c>
      <c r="B91" s="3" t="s">
        <v>333</v>
      </c>
    </row>
    <row r="92">
      <c r="A92" s="3" t="s">
        <v>81</v>
      </c>
      <c r="B92" s="3" t="s">
        <v>333</v>
      </c>
      <c r="C92" s="3" t="s">
        <v>336</v>
      </c>
    </row>
    <row r="93">
      <c r="A93" s="3" t="s">
        <v>85</v>
      </c>
      <c r="B93" s="3" t="s">
        <v>303</v>
      </c>
    </row>
    <row r="94">
      <c r="A94" s="3" t="s">
        <v>87</v>
      </c>
      <c r="B94" s="3" t="s">
        <v>333</v>
      </c>
    </row>
    <row r="95">
      <c r="A95" s="3" t="s">
        <v>88</v>
      </c>
      <c r="B95" s="3" t="s">
        <v>333</v>
      </c>
    </row>
    <row r="96">
      <c r="A96" s="3" t="s">
        <v>90</v>
      </c>
      <c r="B96" s="3" t="s">
        <v>333</v>
      </c>
    </row>
    <row r="97">
      <c r="A97" s="3" t="s">
        <v>92</v>
      </c>
      <c r="B97" s="3" t="s">
        <v>333</v>
      </c>
      <c r="C97" s="3" t="s">
        <v>337</v>
      </c>
    </row>
    <row r="98">
      <c r="A98" s="3" t="s">
        <v>93</v>
      </c>
      <c r="B98" s="3" t="s">
        <v>333</v>
      </c>
    </row>
    <row r="99">
      <c r="A99" s="3" t="s">
        <v>94</v>
      </c>
      <c r="B99" s="3" t="s">
        <v>333</v>
      </c>
      <c r="C99" s="3" t="s">
        <v>336</v>
      </c>
    </row>
    <row r="100">
      <c r="A100" s="3" t="s">
        <v>95</v>
      </c>
      <c r="B100" s="3" t="s">
        <v>333</v>
      </c>
    </row>
    <row r="101">
      <c r="A101" s="3" t="s">
        <v>97</v>
      </c>
      <c r="B101" s="3" t="s">
        <v>333</v>
      </c>
    </row>
    <row r="102">
      <c r="A102" s="3" t="s">
        <v>98</v>
      </c>
      <c r="B102" s="3" t="s">
        <v>333</v>
      </c>
    </row>
    <row r="103">
      <c r="A103" s="4" t="s">
        <v>100</v>
      </c>
      <c r="B103" s="3" t="s">
        <v>333</v>
      </c>
    </row>
    <row r="104">
      <c r="A104" s="7" t="s">
        <v>101</v>
      </c>
      <c r="B104" s="3" t="s">
        <v>274</v>
      </c>
    </row>
    <row r="105">
      <c r="A105" s="7" t="s">
        <v>102</v>
      </c>
      <c r="B105" s="3" t="s">
        <v>303</v>
      </c>
    </row>
    <row r="106">
      <c r="A106" s="7" t="s">
        <v>104</v>
      </c>
      <c r="B106" s="3" t="s">
        <v>333</v>
      </c>
    </row>
    <row r="107">
      <c r="A107" s="7" t="s">
        <v>105</v>
      </c>
      <c r="B107" s="3" t="s">
        <v>333</v>
      </c>
    </row>
    <row r="108">
      <c r="A108" s="7" t="s">
        <v>107</v>
      </c>
      <c r="B108" s="3" t="s">
        <v>333</v>
      </c>
    </row>
    <row r="109">
      <c r="A109" s="7" t="s">
        <v>108</v>
      </c>
      <c r="B109" s="3" t="s">
        <v>333</v>
      </c>
    </row>
    <row r="110">
      <c r="A110" s="7" t="s">
        <v>111</v>
      </c>
      <c r="B110" s="3" t="s">
        <v>333</v>
      </c>
    </row>
    <row r="111">
      <c r="A111" s="7" t="s">
        <v>112</v>
      </c>
      <c r="B111" s="3" t="s">
        <v>333</v>
      </c>
      <c r="C111" s="3" t="s">
        <v>336</v>
      </c>
    </row>
    <row r="112">
      <c r="A112" s="7" t="s">
        <v>113</v>
      </c>
      <c r="B112" s="3" t="s">
        <v>333</v>
      </c>
    </row>
  </sheetData>
  <autoFilter ref="$A$1:$C$56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353</v>
      </c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1">
    <mergeCell ref="A1:K16"/>
  </mergeCells>
  <hyperlinks>
    <hyperlink r:id="rId1" ref="A1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0</v>
      </c>
      <c r="B1" s="24" t="s">
        <v>354</v>
      </c>
      <c r="C1" s="24" t="s">
        <v>355</v>
      </c>
      <c r="D1" s="24" t="s">
        <v>356</v>
      </c>
      <c r="E1" s="24" t="s">
        <v>357</v>
      </c>
      <c r="F1" s="24" t="s">
        <v>358</v>
      </c>
      <c r="G1" s="24" t="s">
        <v>359</v>
      </c>
      <c r="H1" s="3" t="s">
        <v>360</v>
      </c>
    </row>
    <row r="2">
      <c r="A2" s="27" t="s">
        <v>5</v>
      </c>
      <c r="B2" s="5">
        <v>1.0</v>
      </c>
      <c r="C2" s="5">
        <v>0.0</v>
      </c>
      <c r="D2" s="5">
        <v>0.0</v>
      </c>
      <c r="E2" s="5">
        <v>0.0</v>
      </c>
      <c r="F2" s="5">
        <v>0.0</v>
      </c>
      <c r="G2" s="5">
        <v>1.0</v>
      </c>
      <c r="H2" s="17">
        <f t="shared" ref="H2:H62" si="1">SUM(B2:G2)</f>
        <v>2</v>
      </c>
    </row>
    <row r="3">
      <c r="A3" s="4" t="s">
        <v>9</v>
      </c>
      <c r="B3" s="5">
        <v>1.0</v>
      </c>
      <c r="C3" s="5">
        <v>0.0</v>
      </c>
      <c r="D3" s="5">
        <v>0.0</v>
      </c>
      <c r="E3" s="5">
        <v>0.0</v>
      </c>
      <c r="F3" s="5">
        <v>0.0</v>
      </c>
      <c r="G3" s="5">
        <v>1.0</v>
      </c>
      <c r="H3" s="17">
        <f t="shared" si="1"/>
        <v>2</v>
      </c>
    </row>
    <row r="4">
      <c r="A4" s="4" t="s">
        <v>12</v>
      </c>
      <c r="B4" s="5">
        <v>1.0</v>
      </c>
      <c r="C4" s="5">
        <v>1.0</v>
      </c>
      <c r="D4" s="5">
        <v>1.0</v>
      </c>
      <c r="E4" s="5">
        <v>0.0</v>
      </c>
      <c r="F4" s="5">
        <v>1.0</v>
      </c>
      <c r="G4" s="5">
        <v>1.0</v>
      </c>
      <c r="H4" s="17">
        <f t="shared" si="1"/>
        <v>5</v>
      </c>
    </row>
    <row r="5">
      <c r="A5" s="4" t="s">
        <v>15</v>
      </c>
      <c r="B5" s="5">
        <v>1.0</v>
      </c>
      <c r="C5" s="5">
        <v>1.0</v>
      </c>
      <c r="D5" s="5">
        <v>1.0</v>
      </c>
      <c r="E5" s="5">
        <v>1.0</v>
      </c>
      <c r="F5" s="5">
        <v>1.0</v>
      </c>
      <c r="G5" s="5">
        <v>1.0</v>
      </c>
      <c r="H5" s="17">
        <f t="shared" si="1"/>
        <v>6</v>
      </c>
    </row>
    <row r="6">
      <c r="A6" s="4" t="s">
        <v>17</v>
      </c>
      <c r="B6" s="5">
        <v>1.0</v>
      </c>
      <c r="C6" s="5">
        <v>1.0</v>
      </c>
      <c r="D6" s="5">
        <v>1.0</v>
      </c>
      <c r="E6" s="5">
        <v>1.0</v>
      </c>
      <c r="F6" s="5">
        <v>1.0</v>
      </c>
      <c r="G6" s="5">
        <v>1.0</v>
      </c>
      <c r="H6" s="17">
        <f t="shared" si="1"/>
        <v>6</v>
      </c>
    </row>
    <row r="7">
      <c r="A7" s="4" t="s">
        <v>19</v>
      </c>
      <c r="B7" s="5">
        <v>1.0</v>
      </c>
      <c r="C7" s="5">
        <v>1.0</v>
      </c>
      <c r="D7" s="5">
        <v>1.0</v>
      </c>
      <c r="E7" s="5">
        <v>1.0</v>
      </c>
      <c r="F7" s="5">
        <v>1.0</v>
      </c>
      <c r="G7" s="5">
        <v>1.0</v>
      </c>
      <c r="H7" s="17">
        <f t="shared" si="1"/>
        <v>6</v>
      </c>
    </row>
    <row r="8">
      <c r="A8" s="4" t="s">
        <v>21</v>
      </c>
      <c r="B8" s="5">
        <v>1.0</v>
      </c>
      <c r="C8" s="5">
        <v>1.0</v>
      </c>
      <c r="D8" s="5">
        <v>1.0</v>
      </c>
      <c r="E8" s="5">
        <v>1.0</v>
      </c>
      <c r="F8" s="5">
        <v>1.0</v>
      </c>
      <c r="G8" s="5">
        <v>1.0</v>
      </c>
      <c r="H8" s="17">
        <f t="shared" si="1"/>
        <v>6</v>
      </c>
    </row>
    <row r="9">
      <c r="A9" s="4" t="s">
        <v>26</v>
      </c>
      <c r="B9" s="5">
        <v>1.0</v>
      </c>
      <c r="C9" s="5">
        <v>1.0</v>
      </c>
      <c r="D9" s="5">
        <v>1.0</v>
      </c>
      <c r="E9" s="5">
        <v>1.0</v>
      </c>
      <c r="F9" s="5">
        <v>1.0</v>
      </c>
      <c r="G9" s="5">
        <v>1.0</v>
      </c>
      <c r="H9" s="17">
        <f t="shared" si="1"/>
        <v>6</v>
      </c>
    </row>
    <row r="10">
      <c r="A10" s="4" t="s">
        <v>24</v>
      </c>
      <c r="B10" s="5">
        <v>1.0</v>
      </c>
      <c r="C10" s="5">
        <v>1.0</v>
      </c>
      <c r="D10" s="5">
        <v>1.0</v>
      </c>
      <c r="E10" s="5">
        <v>0.0</v>
      </c>
      <c r="F10" s="5">
        <v>1.0</v>
      </c>
      <c r="G10" s="5">
        <v>1.0</v>
      </c>
      <c r="H10" s="17">
        <f t="shared" si="1"/>
        <v>5</v>
      </c>
    </row>
    <row r="11">
      <c r="A11" s="4" t="s">
        <v>28</v>
      </c>
      <c r="B11" s="5">
        <v>1.0</v>
      </c>
      <c r="C11" s="5">
        <v>1.0</v>
      </c>
      <c r="D11" s="5">
        <v>1.0</v>
      </c>
      <c r="E11" s="5">
        <v>0.0</v>
      </c>
      <c r="F11" s="5">
        <v>0.0</v>
      </c>
      <c r="G11" s="5">
        <v>1.0</v>
      </c>
      <c r="H11" s="17">
        <f t="shared" si="1"/>
        <v>4</v>
      </c>
    </row>
    <row r="12">
      <c r="A12" s="4" t="s">
        <v>30</v>
      </c>
      <c r="B12" s="5">
        <v>1.0</v>
      </c>
      <c r="C12" s="5">
        <v>1.0</v>
      </c>
      <c r="D12" s="5">
        <v>1.0</v>
      </c>
      <c r="E12" s="5">
        <v>1.0</v>
      </c>
      <c r="F12" s="5">
        <v>1.0</v>
      </c>
      <c r="G12" s="5">
        <v>0.0</v>
      </c>
      <c r="H12" s="17">
        <f t="shared" si="1"/>
        <v>5</v>
      </c>
    </row>
    <row r="13">
      <c r="A13" s="4" t="s">
        <v>32</v>
      </c>
      <c r="B13" s="5">
        <v>1.0</v>
      </c>
      <c r="C13" s="5">
        <v>1.0</v>
      </c>
      <c r="D13" s="5">
        <v>1.0</v>
      </c>
      <c r="E13" s="5">
        <v>1.0</v>
      </c>
      <c r="F13" s="5">
        <v>1.0</v>
      </c>
      <c r="G13" s="5">
        <v>1.0</v>
      </c>
      <c r="H13" s="17">
        <f t="shared" si="1"/>
        <v>6</v>
      </c>
    </row>
    <row r="14">
      <c r="A14" s="4" t="s">
        <v>34</v>
      </c>
      <c r="B14" s="5">
        <v>1.0</v>
      </c>
      <c r="C14" s="5">
        <v>1.0</v>
      </c>
      <c r="D14" s="5">
        <v>1.0</v>
      </c>
      <c r="E14" s="5">
        <v>1.0</v>
      </c>
      <c r="F14" s="5">
        <v>1.0</v>
      </c>
      <c r="G14" s="5">
        <v>1.0</v>
      </c>
      <c r="H14" s="17">
        <f t="shared" si="1"/>
        <v>6</v>
      </c>
    </row>
    <row r="15">
      <c r="A15" s="4" t="s">
        <v>36</v>
      </c>
      <c r="B15" s="5">
        <v>1.0</v>
      </c>
      <c r="C15" s="5">
        <v>1.0</v>
      </c>
      <c r="D15" s="5">
        <v>0.0</v>
      </c>
      <c r="E15" s="5">
        <v>1.0</v>
      </c>
      <c r="F15" s="5">
        <v>1.0</v>
      </c>
      <c r="G15" s="5">
        <v>1.0</v>
      </c>
      <c r="H15" s="17">
        <f t="shared" si="1"/>
        <v>5</v>
      </c>
    </row>
    <row r="16">
      <c r="A16" s="4" t="s">
        <v>38</v>
      </c>
      <c r="B16" s="5">
        <v>1.0</v>
      </c>
      <c r="C16" s="5">
        <v>1.0</v>
      </c>
      <c r="D16" s="5">
        <v>1.0</v>
      </c>
      <c r="E16" s="5">
        <v>1.0</v>
      </c>
      <c r="F16" s="5">
        <v>1.0</v>
      </c>
      <c r="G16" s="5">
        <v>1.0</v>
      </c>
      <c r="H16" s="17">
        <f t="shared" si="1"/>
        <v>6</v>
      </c>
    </row>
    <row r="17">
      <c r="A17" s="4" t="s">
        <v>40</v>
      </c>
      <c r="B17" s="5">
        <v>1.0</v>
      </c>
      <c r="C17" s="5">
        <v>1.0</v>
      </c>
      <c r="D17" s="5">
        <v>1.0</v>
      </c>
      <c r="E17" s="5">
        <v>1.0</v>
      </c>
      <c r="F17" s="5">
        <v>1.0</v>
      </c>
      <c r="G17" s="5">
        <v>1.0</v>
      </c>
      <c r="H17" s="17">
        <f t="shared" si="1"/>
        <v>6</v>
      </c>
    </row>
    <row r="18">
      <c r="A18" s="4" t="s">
        <v>43</v>
      </c>
      <c r="B18" s="5">
        <v>1.0</v>
      </c>
      <c r="C18" s="5">
        <v>1.0</v>
      </c>
      <c r="D18" s="5">
        <v>1.0</v>
      </c>
      <c r="E18" s="5">
        <v>1.0</v>
      </c>
      <c r="F18" s="5">
        <v>1.0</v>
      </c>
      <c r="G18" s="5">
        <v>1.0</v>
      </c>
      <c r="H18" s="17">
        <f t="shared" si="1"/>
        <v>6</v>
      </c>
    </row>
    <row r="19">
      <c r="A19" s="4" t="s">
        <v>45</v>
      </c>
      <c r="B19" s="5">
        <v>1.0</v>
      </c>
      <c r="C19" s="5">
        <v>1.0</v>
      </c>
      <c r="D19" s="5">
        <v>1.0</v>
      </c>
      <c r="E19" s="5">
        <v>1.0</v>
      </c>
      <c r="F19" s="5">
        <v>1.0</v>
      </c>
      <c r="G19" s="5">
        <v>1.0</v>
      </c>
      <c r="H19" s="17">
        <f t="shared" si="1"/>
        <v>6</v>
      </c>
    </row>
    <row r="20">
      <c r="A20" s="4" t="s">
        <v>47</v>
      </c>
      <c r="B20" s="5">
        <v>1.0</v>
      </c>
      <c r="C20" s="5">
        <v>1.0</v>
      </c>
      <c r="D20" s="5">
        <v>0.0</v>
      </c>
      <c r="E20" s="5">
        <v>1.0</v>
      </c>
      <c r="F20" s="5">
        <v>1.0</v>
      </c>
      <c r="G20" s="5">
        <v>1.0</v>
      </c>
      <c r="H20" s="17">
        <f t="shared" si="1"/>
        <v>5</v>
      </c>
    </row>
    <row r="21">
      <c r="A21" s="4" t="s">
        <v>51</v>
      </c>
      <c r="B21" s="5">
        <v>1.0</v>
      </c>
      <c r="C21" s="5">
        <v>1.0</v>
      </c>
      <c r="D21" s="5">
        <v>0.0</v>
      </c>
      <c r="E21" s="5">
        <v>1.0</v>
      </c>
      <c r="F21" s="5">
        <v>1.0</v>
      </c>
      <c r="G21" s="5">
        <v>0.0</v>
      </c>
      <c r="H21" s="17">
        <f t="shared" si="1"/>
        <v>4</v>
      </c>
    </row>
    <row r="22">
      <c r="A22" s="4" t="s">
        <v>53</v>
      </c>
      <c r="B22" s="5">
        <v>1.0</v>
      </c>
      <c r="C22" s="5">
        <v>1.0</v>
      </c>
      <c r="D22" s="5">
        <v>1.0</v>
      </c>
      <c r="E22" s="5">
        <v>1.0</v>
      </c>
      <c r="F22" s="5">
        <v>1.0</v>
      </c>
      <c r="G22" s="5">
        <v>1.0</v>
      </c>
      <c r="H22" s="17">
        <f t="shared" si="1"/>
        <v>6</v>
      </c>
    </row>
    <row r="23">
      <c r="A23" s="4" t="s">
        <v>54</v>
      </c>
      <c r="B23" s="5">
        <v>1.0</v>
      </c>
      <c r="C23" s="5">
        <v>1.0</v>
      </c>
      <c r="D23" s="5">
        <v>1.0</v>
      </c>
      <c r="E23" s="5">
        <v>1.0</v>
      </c>
      <c r="F23" s="5">
        <v>1.0</v>
      </c>
      <c r="G23" s="5">
        <v>1.0</v>
      </c>
      <c r="H23" s="17">
        <f t="shared" si="1"/>
        <v>6</v>
      </c>
    </row>
    <row r="24">
      <c r="A24" s="4" t="s">
        <v>55</v>
      </c>
      <c r="B24" s="5">
        <v>1.0</v>
      </c>
      <c r="C24" s="5">
        <v>1.0</v>
      </c>
      <c r="D24" s="5">
        <v>1.0</v>
      </c>
      <c r="E24" s="5">
        <v>1.0</v>
      </c>
      <c r="F24" s="5">
        <v>1.0</v>
      </c>
      <c r="G24" s="5">
        <v>1.0</v>
      </c>
      <c r="H24" s="17">
        <f t="shared" si="1"/>
        <v>6</v>
      </c>
    </row>
    <row r="25">
      <c r="A25" s="4" t="s">
        <v>56</v>
      </c>
      <c r="B25" s="5">
        <v>1.0</v>
      </c>
      <c r="C25" s="5">
        <v>1.0</v>
      </c>
      <c r="D25" s="5">
        <v>0.0</v>
      </c>
      <c r="E25" s="5">
        <v>0.0</v>
      </c>
      <c r="F25" s="5">
        <v>0.0</v>
      </c>
      <c r="G25" s="5">
        <v>0.0</v>
      </c>
      <c r="H25" s="17">
        <f t="shared" si="1"/>
        <v>2</v>
      </c>
    </row>
    <row r="26">
      <c r="A26" s="4" t="s">
        <v>58</v>
      </c>
      <c r="B26" s="5">
        <v>1.0</v>
      </c>
      <c r="C26" s="5">
        <v>1.0</v>
      </c>
      <c r="D26" s="5">
        <v>1.0</v>
      </c>
      <c r="E26" s="5">
        <v>1.0</v>
      </c>
      <c r="F26" s="5">
        <v>1.0</v>
      </c>
      <c r="G26" s="5">
        <v>1.0</v>
      </c>
      <c r="H26" s="17">
        <f t="shared" si="1"/>
        <v>6</v>
      </c>
    </row>
    <row r="27">
      <c r="A27" s="4" t="s">
        <v>60</v>
      </c>
      <c r="B27" s="5">
        <v>1.0</v>
      </c>
      <c r="C27" s="5">
        <v>1.0</v>
      </c>
      <c r="D27" s="5">
        <v>1.0</v>
      </c>
      <c r="E27" s="5">
        <v>1.0</v>
      </c>
      <c r="F27" s="5">
        <v>1.0</v>
      </c>
      <c r="G27" s="5">
        <v>1.0</v>
      </c>
      <c r="H27" s="17">
        <f t="shared" si="1"/>
        <v>6</v>
      </c>
    </row>
    <row r="28">
      <c r="A28" s="4" t="s">
        <v>62</v>
      </c>
      <c r="B28" s="5">
        <v>1.0</v>
      </c>
      <c r="C28" s="5">
        <v>1.0</v>
      </c>
      <c r="D28" s="5">
        <v>1.0</v>
      </c>
      <c r="E28" s="5">
        <v>1.0</v>
      </c>
      <c r="F28" s="5">
        <v>1.0</v>
      </c>
      <c r="G28" s="5">
        <v>1.0</v>
      </c>
      <c r="H28" s="17">
        <f t="shared" si="1"/>
        <v>6</v>
      </c>
    </row>
    <row r="29">
      <c r="A29" s="4" t="s">
        <v>64</v>
      </c>
      <c r="B29" s="5">
        <v>1.0</v>
      </c>
      <c r="C29" s="5">
        <v>1.0</v>
      </c>
      <c r="D29" s="5">
        <v>1.0</v>
      </c>
      <c r="E29" s="5">
        <v>1.0</v>
      </c>
      <c r="F29" s="5">
        <v>1.0</v>
      </c>
      <c r="G29" s="5">
        <v>1.0</v>
      </c>
      <c r="H29" s="17">
        <f t="shared" si="1"/>
        <v>6</v>
      </c>
    </row>
    <row r="30">
      <c r="A30" s="4" t="s">
        <v>66</v>
      </c>
      <c r="B30" s="5">
        <v>1.0</v>
      </c>
      <c r="C30" s="5">
        <v>1.0</v>
      </c>
      <c r="D30" s="5">
        <v>1.0</v>
      </c>
      <c r="E30" s="5">
        <v>1.0</v>
      </c>
      <c r="F30" s="5">
        <v>1.0</v>
      </c>
      <c r="G30" s="5">
        <v>1.0</v>
      </c>
      <c r="H30" s="17">
        <f t="shared" si="1"/>
        <v>6</v>
      </c>
    </row>
    <row r="31">
      <c r="A31" s="4" t="s">
        <v>68</v>
      </c>
      <c r="B31" s="5">
        <v>1.0</v>
      </c>
      <c r="C31" s="5">
        <v>1.0</v>
      </c>
      <c r="D31" s="5">
        <v>1.0</v>
      </c>
      <c r="E31" s="5">
        <v>1.0</v>
      </c>
      <c r="F31" s="5">
        <v>1.0</v>
      </c>
      <c r="G31" s="5">
        <v>1.0</v>
      </c>
      <c r="H31" s="17">
        <f t="shared" si="1"/>
        <v>6</v>
      </c>
    </row>
    <row r="32">
      <c r="A32" s="4" t="s">
        <v>41</v>
      </c>
      <c r="B32" s="5">
        <v>1.0</v>
      </c>
      <c r="C32" s="5">
        <v>1.0</v>
      </c>
      <c r="D32" s="5">
        <v>1.0</v>
      </c>
      <c r="E32" s="5">
        <v>0.0</v>
      </c>
      <c r="F32" s="5">
        <v>1.0</v>
      </c>
      <c r="G32" s="5">
        <v>1.0</v>
      </c>
      <c r="H32" s="17">
        <f t="shared" si="1"/>
        <v>5</v>
      </c>
    </row>
    <row r="33">
      <c r="A33" s="4" t="s">
        <v>70</v>
      </c>
      <c r="B33" s="5">
        <v>1.0</v>
      </c>
      <c r="C33" s="5">
        <v>1.0</v>
      </c>
      <c r="D33" s="5">
        <v>0.0</v>
      </c>
      <c r="E33" s="5">
        <v>1.0</v>
      </c>
      <c r="F33" s="5">
        <v>1.0</v>
      </c>
      <c r="G33" s="5">
        <v>1.0</v>
      </c>
      <c r="H33" s="17">
        <f t="shared" si="1"/>
        <v>5</v>
      </c>
    </row>
    <row r="34">
      <c r="A34" s="4" t="s">
        <v>71</v>
      </c>
      <c r="B34" s="5">
        <v>1.0</v>
      </c>
      <c r="C34" s="5">
        <v>1.0</v>
      </c>
      <c r="D34" s="5">
        <v>1.0</v>
      </c>
      <c r="E34" s="5">
        <v>1.0</v>
      </c>
      <c r="F34" s="5">
        <v>1.0</v>
      </c>
      <c r="G34" s="5">
        <v>1.0</v>
      </c>
      <c r="H34" s="17">
        <f t="shared" si="1"/>
        <v>6</v>
      </c>
    </row>
    <row r="35">
      <c r="A35" s="4" t="s">
        <v>72</v>
      </c>
      <c r="B35" s="5">
        <v>1.0</v>
      </c>
      <c r="C35" s="5">
        <v>1.0</v>
      </c>
      <c r="D35" s="5">
        <v>1.0</v>
      </c>
      <c r="E35" s="5">
        <v>1.0</v>
      </c>
      <c r="F35" s="5">
        <v>1.0</v>
      </c>
      <c r="G35" s="5">
        <v>1.0</v>
      </c>
      <c r="H35" s="17">
        <f t="shared" si="1"/>
        <v>6</v>
      </c>
    </row>
    <row r="36">
      <c r="A36" s="4" t="s">
        <v>49</v>
      </c>
      <c r="B36" s="5">
        <v>1.0</v>
      </c>
      <c r="C36" s="5">
        <v>1.0</v>
      </c>
      <c r="D36" s="5">
        <v>1.0</v>
      </c>
      <c r="E36" s="5">
        <v>0.0</v>
      </c>
      <c r="F36" s="5">
        <v>1.0</v>
      </c>
      <c r="G36" s="5">
        <v>1.0</v>
      </c>
      <c r="H36" s="17">
        <f t="shared" si="1"/>
        <v>5</v>
      </c>
    </row>
    <row r="37">
      <c r="A37" s="4" t="s">
        <v>74</v>
      </c>
      <c r="B37" s="5">
        <v>1.0</v>
      </c>
      <c r="C37" s="5">
        <v>0.0</v>
      </c>
      <c r="D37" s="5">
        <v>0.0</v>
      </c>
      <c r="E37" s="5">
        <v>0.0</v>
      </c>
      <c r="F37" s="5">
        <v>0.0</v>
      </c>
      <c r="G37" s="5">
        <v>1.0</v>
      </c>
      <c r="H37" s="17">
        <f t="shared" si="1"/>
        <v>2</v>
      </c>
    </row>
    <row r="38">
      <c r="A38" s="4" t="s">
        <v>76</v>
      </c>
      <c r="B38" s="5">
        <v>1.0</v>
      </c>
      <c r="C38" s="5">
        <v>1.0</v>
      </c>
      <c r="D38" s="5">
        <v>1.0</v>
      </c>
      <c r="E38" s="5">
        <v>1.0</v>
      </c>
      <c r="F38" s="5">
        <v>1.0</v>
      </c>
      <c r="G38" s="5">
        <v>1.0</v>
      </c>
      <c r="H38" s="17">
        <f t="shared" si="1"/>
        <v>6</v>
      </c>
    </row>
    <row r="39">
      <c r="A39" s="4" t="s">
        <v>78</v>
      </c>
      <c r="B39" s="5">
        <v>1.0</v>
      </c>
      <c r="C39" s="5">
        <v>1.0</v>
      </c>
      <c r="D39" s="5">
        <v>1.0</v>
      </c>
      <c r="E39" s="5">
        <v>1.0</v>
      </c>
      <c r="F39" s="5">
        <v>1.0</v>
      </c>
      <c r="G39" s="5">
        <v>1.0</v>
      </c>
      <c r="H39" s="17">
        <f t="shared" si="1"/>
        <v>6</v>
      </c>
    </row>
    <row r="40">
      <c r="A40" s="4" t="s">
        <v>79</v>
      </c>
      <c r="B40" s="5">
        <v>1.0</v>
      </c>
      <c r="C40" s="5">
        <v>1.0</v>
      </c>
      <c r="D40" s="5">
        <v>1.0</v>
      </c>
      <c r="E40" s="5">
        <v>1.0</v>
      </c>
      <c r="F40" s="5">
        <v>1.0</v>
      </c>
      <c r="G40" s="5">
        <v>1.0</v>
      </c>
      <c r="H40" s="17">
        <f t="shared" si="1"/>
        <v>6</v>
      </c>
    </row>
    <row r="41">
      <c r="A41" s="4" t="s">
        <v>81</v>
      </c>
      <c r="B41" s="5">
        <v>1.0</v>
      </c>
      <c r="C41" s="5">
        <v>1.0</v>
      </c>
      <c r="D41" s="5">
        <v>1.0</v>
      </c>
      <c r="E41" s="5">
        <v>1.0</v>
      </c>
      <c r="F41" s="5">
        <v>1.0</v>
      </c>
      <c r="G41" s="5">
        <v>1.0</v>
      </c>
      <c r="H41" s="17">
        <f t="shared" si="1"/>
        <v>6</v>
      </c>
    </row>
    <row r="42">
      <c r="A42" s="4" t="s">
        <v>83</v>
      </c>
      <c r="B42" s="5">
        <v>1.0</v>
      </c>
      <c r="C42" s="5">
        <v>0.0</v>
      </c>
      <c r="D42" s="5">
        <v>0.0</v>
      </c>
      <c r="E42" s="5">
        <v>0.0</v>
      </c>
      <c r="F42" s="5">
        <v>0.0</v>
      </c>
      <c r="G42" s="5">
        <v>1.0</v>
      </c>
      <c r="H42" s="17">
        <f t="shared" si="1"/>
        <v>2</v>
      </c>
    </row>
    <row r="43">
      <c r="A43" s="4" t="s">
        <v>85</v>
      </c>
      <c r="B43" s="5">
        <v>1.0</v>
      </c>
      <c r="C43" s="5">
        <v>1.0</v>
      </c>
      <c r="D43" s="5">
        <v>1.0</v>
      </c>
      <c r="E43" s="5">
        <v>1.0</v>
      </c>
      <c r="F43" s="5">
        <v>1.0</v>
      </c>
      <c r="G43" s="5">
        <v>1.0</v>
      </c>
      <c r="H43" s="17">
        <f t="shared" si="1"/>
        <v>6</v>
      </c>
    </row>
    <row r="44">
      <c r="A44" s="4" t="s">
        <v>87</v>
      </c>
      <c r="B44" s="5">
        <v>1.0</v>
      </c>
      <c r="C44" s="5">
        <v>1.0</v>
      </c>
      <c r="D44" s="5">
        <v>1.0</v>
      </c>
      <c r="E44" s="5">
        <v>1.0</v>
      </c>
      <c r="F44" s="5">
        <v>1.0</v>
      </c>
      <c r="G44" s="5">
        <v>1.0</v>
      </c>
      <c r="H44" s="17">
        <f t="shared" si="1"/>
        <v>6</v>
      </c>
    </row>
    <row r="45">
      <c r="A45" s="4" t="s">
        <v>88</v>
      </c>
      <c r="B45" s="5">
        <v>1.0</v>
      </c>
      <c r="C45" s="5">
        <v>1.0</v>
      </c>
      <c r="D45" s="5">
        <v>1.0</v>
      </c>
      <c r="E45" s="5">
        <v>0.0</v>
      </c>
      <c r="F45" s="5">
        <v>0.0</v>
      </c>
      <c r="G45" s="5">
        <v>1.0</v>
      </c>
      <c r="H45" s="17">
        <f t="shared" si="1"/>
        <v>4</v>
      </c>
    </row>
    <row r="46">
      <c r="A46" s="4" t="s">
        <v>90</v>
      </c>
      <c r="B46" s="5">
        <v>1.0</v>
      </c>
      <c r="C46" s="5">
        <v>1.0</v>
      </c>
      <c r="D46" s="5">
        <v>1.0</v>
      </c>
      <c r="E46" s="5">
        <v>1.0</v>
      </c>
      <c r="F46" s="5">
        <v>1.0</v>
      </c>
      <c r="G46" s="5">
        <v>1.0</v>
      </c>
      <c r="H46" s="17">
        <f t="shared" si="1"/>
        <v>6</v>
      </c>
    </row>
    <row r="47">
      <c r="A47" s="4" t="s">
        <v>92</v>
      </c>
      <c r="B47" s="5">
        <v>1.0</v>
      </c>
      <c r="C47" s="5">
        <v>1.0</v>
      </c>
      <c r="D47" s="5">
        <v>0.0</v>
      </c>
      <c r="E47" s="5">
        <v>1.0</v>
      </c>
      <c r="F47" s="5">
        <v>0.0</v>
      </c>
      <c r="G47" s="5">
        <v>0.0</v>
      </c>
      <c r="H47" s="17">
        <f t="shared" si="1"/>
        <v>3</v>
      </c>
    </row>
    <row r="48">
      <c r="A48" s="4" t="s">
        <v>93</v>
      </c>
      <c r="B48" s="5">
        <v>1.0</v>
      </c>
      <c r="C48" s="5">
        <v>1.0</v>
      </c>
      <c r="D48" s="5">
        <v>1.0</v>
      </c>
      <c r="E48" s="5">
        <v>1.0</v>
      </c>
      <c r="F48" s="5">
        <v>1.0</v>
      </c>
      <c r="G48" s="5">
        <v>1.0</v>
      </c>
      <c r="H48" s="17">
        <f t="shared" si="1"/>
        <v>6</v>
      </c>
    </row>
    <row r="49">
      <c r="A49" s="4" t="s">
        <v>94</v>
      </c>
      <c r="B49" s="5">
        <v>1.0</v>
      </c>
      <c r="C49" s="5">
        <v>1.0</v>
      </c>
      <c r="D49" s="5">
        <v>1.0</v>
      </c>
      <c r="E49" s="5">
        <v>1.0</v>
      </c>
      <c r="F49" s="5">
        <v>1.0</v>
      </c>
      <c r="G49" s="5">
        <v>1.0</v>
      </c>
      <c r="H49" s="17">
        <f t="shared" si="1"/>
        <v>6</v>
      </c>
    </row>
    <row r="50">
      <c r="A50" s="4" t="s">
        <v>95</v>
      </c>
      <c r="B50" s="5">
        <v>1.0</v>
      </c>
      <c r="C50" s="5">
        <v>1.0</v>
      </c>
      <c r="D50" s="5">
        <v>1.0</v>
      </c>
      <c r="E50" s="5">
        <v>1.0</v>
      </c>
      <c r="F50" s="5">
        <v>1.0</v>
      </c>
      <c r="G50" s="5">
        <v>1.0</v>
      </c>
      <c r="H50" s="17">
        <f t="shared" si="1"/>
        <v>6</v>
      </c>
    </row>
    <row r="51">
      <c r="A51" s="4" t="s">
        <v>97</v>
      </c>
      <c r="B51" s="5">
        <v>1.0</v>
      </c>
      <c r="C51" s="5">
        <v>1.0</v>
      </c>
      <c r="D51" s="5">
        <v>1.0</v>
      </c>
      <c r="E51" s="5">
        <v>1.0</v>
      </c>
      <c r="F51" s="5">
        <v>1.0</v>
      </c>
      <c r="G51" s="5">
        <v>1.0</v>
      </c>
      <c r="H51" s="17">
        <f t="shared" si="1"/>
        <v>6</v>
      </c>
    </row>
    <row r="52">
      <c r="A52" s="4" t="s">
        <v>98</v>
      </c>
      <c r="B52" s="5">
        <v>1.0</v>
      </c>
      <c r="C52" s="5">
        <v>1.0</v>
      </c>
      <c r="D52" s="5">
        <v>1.0</v>
      </c>
      <c r="E52" s="5">
        <v>1.0</v>
      </c>
      <c r="F52" s="5">
        <v>1.0</v>
      </c>
      <c r="G52" s="5">
        <v>1.0</v>
      </c>
      <c r="H52" s="17">
        <f t="shared" si="1"/>
        <v>6</v>
      </c>
    </row>
    <row r="53">
      <c r="A53" s="4" t="s">
        <v>100</v>
      </c>
      <c r="B53" s="5">
        <v>1.0</v>
      </c>
      <c r="C53" s="5">
        <v>1.0</v>
      </c>
      <c r="D53" s="5">
        <v>1.0</v>
      </c>
      <c r="E53" s="5">
        <v>1.0</v>
      </c>
      <c r="F53" s="5">
        <v>1.0</v>
      </c>
      <c r="G53" s="5">
        <v>1.0</v>
      </c>
      <c r="H53" s="17">
        <f t="shared" si="1"/>
        <v>6</v>
      </c>
    </row>
    <row r="54">
      <c r="A54" s="4" t="s">
        <v>101</v>
      </c>
      <c r="B54" s="5">
        <v>1.0</v>
      </c>
      <c r="C54" s="5">
        <v>1.0</v>
      </c>
      <c r="D54" s="5">
        <v>1.0</v>
      </c>
      <c r="E54" s="5">
        <v>1.0</v>
      </c>
      <c r="F54" s="5">
        <v>1.0</v>
      </c>
      <c r="G54" s="5">
        <v>1.0</v>
      </c>
      <c r="H54" s="17">
        <f t="shared" si="1"/>
        <v>6</v>
      </c>
    </row>
    <row r="55">
      <c r="A55" s="4" t="s">
        <v>102</v>
      </c>
      <c r="B55" s="5">
        <v>1.0</v>
      </c>
      <c r="C55" s="5">
        <v>1.0</v>
      </c>
      <c r="D55" s="5">
        <v>1.0</v>
      </c>
      <c r="E55" s="5">
        <v>1.0</v>
      </c>
      <c r="F55" s="5">
        <v>1.0</v>
      </c>
      <c r="G55" s="5">
        <v>1.0</v>
      </c>
      <c r="H55" s="17">
        <f t="shared" si="1"/>
        <v>6</v>
      </c>
    </row>
    <row r="56">
      <c r="A56" s="4" t="s">
        <v>104</v>
      </c>
      <c r="B56" s="5">
        <v>1.0</v>
      </c>
      <c r="C56" s="5">
        <v>1.0</v>
      </c>
      <c r="D56" s="5">
        <v>1.0</v>
      </c>
      <c r="E56" s="5">
        <v>1.0</v>
      </c>
      <c r="F56" s="5">
        <v>1.0</v>
      </c>
      <c r="G56" s="5">
        <v>1.0</v>
      </c>
      <c r="H56" s="17">
        <f t="shared" si="1"/>
        <v>6</v>
      </c>
    </row>
    <row r="57">
      <c r="A57" s="4" t="s">
        <v>105</v>
      </c>
      <c r="B57" s="5">
        <v>1.0</v>
      </c>
      <c r="C57" s="5">
        <v>1.0</v>
      </c>
      <c r="D57" s="5">
        <v>1.0</v>
      </c>
      <c r="E57" s="5">
        <v>1.0</v>
      </c>
      <c r="F57" s="5">
        <v>1.0</v>
      </c>
      <c r="G57" s="5">
        <v>1.0</v>
      </c>
      <c r="H57" s="17">
        <f t="shared" si="1"/>
        <v>6</v>
      </c>
    </row>
    <row r="58">
      <c r="A58" s="4" t="s">
        <v>107</v>
      </c>
      <c r="B58" s="5">
        <v>1.0</v>
      </c>
      <c r="C58" s="5">
        <v>1.0</v>
      </c>
      <c r="D58" s="5">
        <v>0.0</v>
      </c>
      <c r="E58" s="5">
        <v>1.0</v>
      </c>
      <c r="F58" s="5">
        <v>0.0</v>
      </c>
      <c r="G58" s="5">
        <v>1.0</v>
      </c>
      <c r="H58" s="17">
        <f t="shared" si="1"/>
        <v>4</v>
      </c>
    </row>
    <row r="59">
      <c r="A59" s="4" t="s">
        <v>108</v>
      </c>
      <c r="B59" s="5">
        <v>1.0</v>
      </c>
      <c r="C59" s="5">
        <v>1.0</v>
      </c>
      <c r="D59" s="5">
        <v>1.0</v>
      </c>
      <c r="E59" s="5">
        <v>1.0</v>
      </c>
      <c r="F59" s="5">
        <v>1.0</v>
      </c>
      <c r="G59" s="5">
        <v>1.0</v>
      </c>
      <c r="H59" s="17">
        <f t="shared" si="1"/>
        <v>6</v>
      </c>
    </row>
    <row r="60">
      <c r="A60" s="4" t="s">
        <v>111</v>
      </c>
      <c r="B60" s="5">
        <v>1.0</v>
      </c>
      <c r="C60" s="5">
        <v>1.0</v>
      </c>
      <c r="D60" s="5">
        <v>0.0</v>
      </c>
      <c r="E60" s="5">
        <v>1.0</v>
      </c>
      <c r="F60" s="5">
        <v>0.0</v>
      </c>
      <c r="G60" s="5">
        <v>1.0</v>
      </c>
      <c r="H60" s="17">
        <f t="shared" si="1"/>
        <v>4</v>
      </c>
    </row>
    <row r="61">
      <c r="A61" s="4" t="s">
        <v>112</v>
      </c>
      <c r="B61" s="5">
        <v>1.0</v>
      </c>
      <c r="C61" s="5">
        <v>1.0</v>
      </c>
      <c r="D61" s="5">
        <v>1.0</v>
      </c>
      <c r="E61" s="5">
        <v>1.0</v>
      </c>
      <c r="F61" s="5">
        <v>1.0</v>
      </c>
      <c r="G61" s="5">
        <v>1.0</v>
      </c>
      <c r="H61" s="17">
        <f t="shared" si="1"/>
        <v>6</v>
      </c>
    </row>
    <row r="62">
      <c r="A62" s="4" t="s">
        <v>113</v>
      </c>
      <c r="B62" s="5">
        <v>1.0</v>
      </c>
      <c r="C62" s="5">
        <v>1.0</v>
      </c>
      <c r="D62" s="5">
        <v>0.0</v>
      </c>
      <c r="E62" s="5">
        <v>1.0</v>
      </c>
      <c r="F62" s="5">
        <v>1.0</v>
      </c>
      <c r="G62" s="5">
        <v>0.0</v>
      </c>
      <c r="H62" s="17">
        <f t="shared" si="1"/>
        <v>4</v>
      </c>
    </row>
    <row r="63">
      <c r="A63" s="3" t="s">
        <v>361</v>
      </c>
      <c r="B63" s="28">
        <f t="shared" ref="B63:H63" si="2">AVERAGE(B2:B62)</f>
        <v>1</v>
      </c>
      <c r="C63" s="28">
        <f t="shared" si="2"/>
        <v>0.9344262295</v>
      </c>
      <c r="D63" s="28">
        <f t="shared" si="2"/>
        <v>0.7868852459</v>
      </c>
      <c r="E63" s="28">
        <f t="shared" si="2"/>
        <v>0.8196721311</v>
      </c>
      <c r="F63" s="28">
        <f t="shared" si="2"/>
        <v>0.8360655738</v>
      </c>
      <c r="G63" s="28">
        <f t="shared" si="2"/>
        <v>0.9180327869</v>
      </c>
      <c r="H63" s="28">
        <f t="shared" si="2"/>
        <v>5.295081967</v>
      </c>
    </row>
    <row r="65">
      <c r="A65" s="3" t="s">
        <v>362</v>
      </c>
      <c r="B65" s="3">
        <f>COUNTIF($H$2:$H$62, 6)</f>
        <v>41</v>
      </c>
      <c r="C65" s="16">
        <f t="shared" ref="C65:C67" si="3">B65/61</f>
        <v>0.6721311475</v>
      </c>
    </row>
    <row r="66">
      <c r="A66" s="3" t="s">
        <v>363</v>
      </c>
      <c r="B66" s="17">
        <f>COUNTIF($H$2:$H$62, 5)</f>
        <v>8</v>
      </c>
      <c r="C66" s="16">
        <f t="shared" si="3"/>
        <v>0.131147541</v>
      </c>
    </row>
    <row r="67">
      <c r="A67" s="3" t="s">
        <v>364</v>
      </c>
      <c r="B67" s="17">
        <f>COUNTIF($H$2:$H$62, "&lt;5")</f>
        <v>12</v>
      </c>
      <c r="C67" s="16">
        <f t="shared" si="3"/>
        <v>0.1967213115</v>
      </c>
    </row>
    <row r="71">
      <c r="A71" s="24" t="s">
        <v>0</v>
      </c>
      <c r="B71" s="21" t="s">
        <v>1</v>
      </c>
      <c r="C71" s="21" t="s">
        <v>365</v>
      </c>
      <c r="D71" s="21" t="s">
        <v>3</v>
      </c>
      <c r="E71" s="24" t="s">
        <v>354</v>
      </c>
      <c r="F71" s="24" t="s">
        <v>355</v>
      </c>
      <c r="G71" s="24" t="s">
        <v>356</v>
      </c>
      <c r="H71" s="24" t="s">
        <v>357</v>
      </c>
      <c r="I71" s="24" t="s">
        <v>358</v>
      </c>
      <c r="J71" s="24" t="s">
        <v>359</v>
      </c>
      <c r="K71" s="3" t="s">
        <v>360</v>
      </c>
    </row>
    <row r="72">
      <c r="A72" s="4" t="s">
        <v>5</v>
      </c>
      <c r="B72" s="5">
        <v>2021.0</v>
      </c>
      <c r="C72" s="3" t="s">
        <v>6</v>
      </c>
      <c r="D72" s="3" t="s">
        <v>8</v>
      </c>
      <c r="E72" s="5">
        <v>1.0</v>
      </c>
      <c r="F72" s="5">
        <v>0.0</v>
      </c>
      <c r="G72" s="5">
        <v>0.0</v>
      </c>
      <c r="H72" s="5">
        <v>0.0</v>
      </c>
      <c r="I72" s="5">
        <v>0.0</v>
      </c>
      <c r="J72" s="5">
        <v>1.0</v>
      </c>
      <c r="K72" s="17">
        <f t="shared" ref="K72:K83" si="4">SUM(E72:J72)</f>
        <v>2</v>
      </c>
    </row>
    <row r="73">
      <c r="A73" s="4" t="s">
        <v>9</v>
      </c>
      <c r="B73" s="3">
        <v>2023.0</v>
      </c>
      <c r="C73" s="3" t="s">
        <v>10</v>
      </c>
      <c r="D73" s="4" t="s">
        <v>11</v>
      </c>
      <c r="E73" s="5">
        <v>1.0</v>
      </c>
      <c r="F73" s="5">
        <v>0.0</v>
      </c>
      <c r="G73" s="5">
        <v>0.0</v>
      </c>
      <c r="H73" s="5">
        <v>0.0</v>
      </c>
      <c r="I73" s="5">
        <v>0.0</v>
      </c>
      <c r="J73" s="5">
        <v>1.0</v>
      </c>
      <c r="K73" s="17">
        <f t="shared" si="4"/>
        <v>2</v>
      </c>
    </row>
    <row r="74">
      <c r="A74" s="4" t="s">
        <v>28</v>
      </c>
      <c r="B74" s="3">
        <v>2025.0</v>
      </c>
      <c r="C74" s="4" t="s">
        <v>29</v>
      </c>
      <c r="D74" s="4" t="s">
        <v>11</v>
      </c>
      <c r="E74" s="5">
        <v>1.0</v>
      </c>
      <c r="F74" s="5">
        <v>1.0</v>
      </c>
      <c r="G74" s="5">
        <v>1.0</v>
      </c>
      <c r="H74" s="5">
        <v>0.0</v>
      </c>
      <c r="I74" s="5">
        <v>0.0</v>
      </c>
      <c r="J74" s="5">
        <v>1.0</v>
      </c>
      <c r="K74" s="17">
        <f t="shared" si="4"/>
        <v>4</v>
      </c>
    </row>
    <row r="75">
      <c r="A75" s="4" t="s">
        <v>51</v>
      </c>
      <c r="B75" s="3">
        <v>2024.0</v>
      </c>
      <c r="C75" s="4" t="s">
        <v>52</v>
      </c>
      <c r="D75" s="4" t="s">
        <v>11</v>
      </c>
      <c r="E75" s="5">
        <v>1.0</v>
      </c>
      <c r="F75" s="5">
        <v>1.0</v>
      </c>
      <c r="G75" s="5">
        <v>0.0</v>
      </c>
      <c r="H75" s="5">
        <v>1.0</v>
      </c>
      <c r="I75" s="5">
        <v>1.0</v>
      </c>
      <c r="J75" s="5">
        <v>0.0</v>
      </c>
      <c r="K75" s="17">
        <f t="shared" si="4"/>
        <v>4</v>
      </c>
    </row>
    <row r="76">
      <c r="A76" s="4" t="s">
        <v>56</v>
      </c>
      <c r="B76" s="3">
        <v>2024.0</v>
      </c>
      <c r="C76" s="3" t="s">
        <v>57</v>
      </c>
      <c r="D76" s="3" t="s">
        <v>11</v>
      </c>
      <c r="E76" s="5">
        <v>1.0</v>
      </c>
      <c r="F76" s="5">
        <v>1.0</v>
      </c>
      <c r="G76" s="5">
        <v>0.0</v>
      </c>
      <c r="H76" s="5">
        <v>0.0</v>
      </c>
      <c r="I76" s="5">
        <v>0.0</v>
      </c>
      <c r="J76" s="5">
        <v>0.0</v>
      </c>
      <c r="K76" s="17">
        <f t="shared" si="4"/>
        <v>2</v>
      </c>
    </row>
    <row r="77">
      <c r="A77" s="4" t="s">
        <v>74</v>
      </c>
      <c r="B77" s="3">
        <v>2025.0</v>
      </c>
      <c r="C77" s="4" t="s">
        <v>75</v>
      </c>
      <c r="D77" s="4" t="s">
        <v>11</v>
      </c>
      <c r="E77" s="5">
        <v>1.0</v>
      </c>
      <c r="F77" s="5">
        <v>0.0</v>
      </c>
      <c r="G77" s="5">
        <v>0.0</v>
      </c>
      <c r="H77" s="5">
        <v>0.0</v>
      </c>
      <c r="I77" s="5">
        <v>0.0</v>
      </c>
      <c r="J77" s="5">
        <v>1.0</v>
      </c>
      <c r="K77" s="17">
        <f t="shared" si="4"/>
        <v>2</v>
      </c>
    </row>
    <row r="78">
      <c r="A78" s="4" t="s">
        <v>83</v>
      </c>
      <c r="B78" s="3">
        <v>2025.0</v>
      </c>
      <c r="C78" s="4" t="s">
        <v>84</v>
      </c>
      <c r="D78" s="4" t="s">
        <v>14</v>
      </c>
      <c r="E78" s="5">
        <v>1.0</v>
      </c>
      <c r="F78" s="5">
        <v>0.0</v>
      </c>
      <c r="G78" s="5">
        <v>0.0</v>
      </c>
      <c r="H78" s="5">
        <v>0.0</v>
      </c>
      <c r="I78" s="5">
        <v>0.0</v>
      </c>
      <c r="J78" s="5">
        <v>1.0</v>
      </c>
      <c r="K78" s="17">
        <f t="shared" si="4"/>
        <v>2</v>
      </c>
    </row>
    <row r="79">
      <c r="A79" s="4" t="s">
        <v>88</v>
      </c>
      <c r="B79" s="3">
        <v>2025.0</v>
      </c>
      <c r="C79" s="4" t="s">
        <v>89</v>
      </c>
      <c r="D79" s="4" t="s">
        <v>11</v>
      </c>
      <c r="E79" s="5">
        <v>1.0</v>
      </c>
      <c r="F79" s="5">
        <v>1.0</v>
      </c>
      <c r="G79" s="5">
        <v>1.0</v>
      </c>
      <c r="H79" s="5">
        <v>0.0</v>
      </c>
      <c r="I79" s="5">
        <v>0.0</v>
      </c>
      <c r="J79" s="5">
        <v>1.0</v>
      </c>
      <c r="K79" s="17">
        <f t="shared" si="4"/>
        <v>4</v>
      </c>
    </row>
    <row r="80">
      <c r="A80" s="4" t="s">
        <v>92</v>
      </c>
      <c r="B80" s="3">
        <v>2025.0</v>
      </c>
      <c r="C80" s="4" t="s">
        <v>89</v>
      </c>
      <c r="D80" s="4" t="s">
        <v>11</v>
      </c>
      <c r="E80" s="5">
        <v>1.0</v>
      </c>
      <c r="F80" s="5">
        <v>1.0</v>
      </c>
      <c r="G80" s="5">
        <v>0.0</v>
      </c>
      <c r="H80" s="5">
        <v>1.0</v>
      </c>
      <c r="I80" s="5">
        <v>0.0</v>
      </c>
      <c r="J80" s="5">
        <v>0.0</v>
      </c>
      <c r="K80" s="17">
        <f t="shared" si="4"/>
        <v>3</v>
      </c>
    </row>
    <row r="81">
      <c r="A81" s="4" t="s">
        <v>107</v>
      </c>
      <c r="B81" s="5">
        <v>2025.0</v>
      </c>
      <c r="C81" s="4" t="s">
        <v>89</v>
      </c>
      <c r="D81" s="4" t="s">
        <v>11</v>
      </c>
      <c r="E81" s="5">
        <v>1.0</v>
      </c>
      <c r="F81" s="5">
        <v>1.0</v>
      </c>
      <c r="G81" s="5">
        <v>0.0</v>
      </c>
      <c r="H81" s="5">
        <v>1.0</v>
      </c>
      <c r="I81" s="5">
        <v>0.0</v>
      </c>
      <c r="J81" s="5">
        <v>1.0</v>
      </c>
      <c r="K81" s="17">
        <f t="shared" si="4"/>
        <v>4</v>
      </c>
    </row>
    <row r="82">
      <c r="A82" s="4" t="s">
        <v>111</v>
      </c>
      <c r="B82" s="5">
        <v>2023.0</v>
      </c>
      <c r="C82" s="4" t="s">
        <v>89</v>
      </c>
      <c r="D82" s="4" t="s">
        <v>11</v>
      </c>
      <c r="E82" s="5">
        <v>1.0</v>
      </c>
      <c r="F82" s="5">
        <v>1.0</v>
      </c>
      <c r="G82" s="5">
        <v>0.0</v>
      </c>
      <c r="H82" s="5">
        <v>1.0</v>
      </c>
      <c r="I82" s="5">
        <v>0.0</v>
      </c>
      <c r="J82" s="5">
        <v>1.0</v>
      </c>
      <c r="K82" s="17">
        <f t="shared" si="4"/>
        <v>4</v>
      </c>
    </row>
    <row r="83">
      <c r="A83" s="4" t="s">
        <v>113</v>
      </c>
      <c r="B83" s="5">
        <v>2025.0</v>
      </c>
      <c r="C83" s="4" t="s">
        <v>37</v>
      </c>
      <c r="D83" s="4" t="s">
        <v>11</v>
      </c>
      <c r="E83" s="5">
        <v>1.0</v>
      </c>
      <c r="F83" s="5">
        <v>1.0</v>
      </c>
      <c r="G83" s="5">
        <v>0.0</v>
      </c>
      <c r="H83" s="5">
        <v>1.0</v>
      </c>
      <c r="I83" s="5">
        <v>1.0</v>
      </c>
      <c r="J83" s="5">
        <v>0.0</v>
      </c>
      <c r="K83" s="17">
        <f t="shared" si="4"/>
        <v>4</v>
      </c>
    </row>
  </sheetData>
  <autoFilter ref="$A$1:$H$63"/>
  <drawing r:id="rId1"/>
</worksheet>
</file>